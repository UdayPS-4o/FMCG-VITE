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hubham\Downloads\"/>
    </mc:Choice>
  </mc:AlternateContent>
  <workbookProtection workbookAlgorithmName="SHA-512" workbookHashValue="IgyN2zCKS4+pn2nqa7pa1uTqotqICcE8idnmo8U6z1bMyjvDsJmyNzF3vCnvWcBwm7S6UF+5oF8Vao3zsklhRw==" workbookSaltValue="A3pJ4czayoe6dmxvlEUB6A==" workbookSpinCount="100000" lockStructure="1"/>
  <bookViews>
    <workbookView xWindow="0" yWindow="0" windowWidth="20460" windowHeight="8760" tabRatio="807"/>
  </bookViews>
  <sheets>
    <sheet name="Basic Details" sheetId="1" r:id="rId1"/>
    <sheet name="Inventory Details" sheetId="8" r:id="rId2"/>
    <sheet name="Debtors Details" sheetId="9" r:id="rId3"/>
    <sheet name="Sundry Creditors" sheetId="21" r:id="rId4"/>
    <sheet name="LC Creditors" sheetId="20" r:id="rId5"/>
    <sheet name="Other Details" sheetId="17" r:id="rId6"/>
  </sheets>
  <definedNames>
    <definedName name="_xlnm.Print_Area" localSheetId="0">'Basic Details'!$A$1:$F$12</definedName>
    <definedName name="_xlnm.Print_Area" localSheetId="2">'Debtors Details'!$A$1:$K$57</definedName>
    <definedName name="_xlnm.Print_Area" localSheetId="1">'Inventory Details'!$A$1:$H$23</definedName>
    <definedName name="_xlnm.Print_Area" localSheetId="4">'LC Creditors'!$A$1:$C$14</definedName>
    <definedName name="_xlnm.Print_Area" localSheetId="3">'Sundry Creditors'!$A$1:$C$27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3" i="9" l="1"/>
  <c r="I52" i="9"/>
  <c r="I51" i="9" l="1"/>
  <c r="I50" i="9"/>
  <c r="I49" i="9"/>
  <c r="I48" i="9"/>
  <c r="I47" i="9"/>
  <c r="F20" i="8" l="1"/>
  <c r="A20" i="8"/>
  <c r="I46" i="9" l="1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2" i="9" l="1"/>
  <c r="I13" i="9"/>
  <c r="I14" i="9"/>
  <c r="I15" i="9"/>
  <c r="I16" i="9"/>
  <c r="I17" i="9"/>
  <c r="I18" i="9"/>
  <c r="I19" i="9"/>
  <c r="F8" i="8"/>
  <c r="F9" i="8"/>
  <c r="F10" i="8"/>
  <c r="F11" i="8"/>
  <c r="F12" i="8"/>
  <c r="F13" i="8"/>
  <c r="F14" i="8"/>
  <c r="F15" i="8"/>
  <c r="F16" i="8"/>
  <c r="F17" i="8"/>
  <c r="F18" i="8"/>
  <c r="F19" i="8"/>
  <c r="Q8" i="1"/>
  <c r="Q7" i="1"/>
  <c r="M1" i="21"/>
  <c r="G54" i="9"/>
  <c r="H54" i="9"/>
  <c r="F54" i="9"/>
  <c r="C10" i="20"/>
  <c r="C24" i="21"/>
  <c r="F21" i="8"/>
  <c r="E54" i="9"/>
  <c r="I54" i="9"/>
  <c r="M1" i="20" l="1"/>
  <c r="M1" i="9" l="1"/>
  <c r="A16" i="8"/>
  <c r="A17" i="8"/>
  <c r="A18" i="8"/>
  <c r="A19" i="8"/>
  <c r="A9" i="8"/>
  <c r="A10" i="8"/>
  <c r="A11" i="8"/>
  <c r="A12" i="8"/>
  <c r="A13" i="8"/>
  <c r="A14" i="8"/>
  <c r="A15" i="8"/>
  <c r="A8" i="8"/>
  <c r="M1" i="8" l="1"/>
  <c r="I8" i="9" l="1"/>
  <c r="B4" i="17" l="1"/>
  <c r="B13" i="17"/>
  <c r="G5" i="8" l="1"/>
  <c r="B9" i="17" l="1"/>
</calcChain>
</file>

<file path=xl/sharedStrings.xml><?xml version="1.0" encoding="utf-8"?>
<sst xmlns="http://schemas.openxmlformats.org/spreadsheetml/2006/main" count="118" uniqueCount="93">
  <si>
    <t>Name of the Borrower</t>
  </si>
  <si>
    <t>CBS Customer ID</t>
  </si>
  <si>
    <t>A/c Number</t>
  </si>
  <si>
    <t xml:space="preserve">Facility </t>
  </si>
  <si>
    <t>Total Sales</t>
  </si>
  <si>
    <t>Period ended</t>
  </si>
  <si>
    <t>April</t>
  </si>
  <si>
    <t xml:space="preserve">Year </t>
  </si>
  <si>
    <t>Type</t>
  </si>
  <si>
    <t>Year</t>
  </si>
  <si>
    <t>Fortnightly</t>
  </si>
  <si>
    <t>Raw Material</t>
  </si>
  <si>
    <t>Particular of Goods</t>
  </si>
  <si>
    <t>Where Lying</t>
  </si>
  <si>
    <t>Stores</t>
  </si>
  <si>
    <t>Quantity</t>
  </si>
  <si>
    <t>May</t>
  </si>
  <si>
    <t>Quarterly</t>
  </si>
  <si>
    <t>June</t>
  </si>
  <si>
    <t>Stock In Progress</t>
  </si>
  <si>
    <t>Half-yearly</t>
  </si>
  <si>
    <t>July</t>
  </si>
  <si>
    <t>Finished Good</t>
  </si>
  <si>
    <t>August</t>
  </si>
  <si>
    <t>Spares</t>
  </si>
  <si>
    <t>September</t>
  </si>
  <si>
    <t>October</t>
  </si>
  <si>
    <t>November</t>
  </si>
  <si>
    <t>December</t>
  </si>
  <si>
    <t>January</t>
  </si>
  <si>
    <t>February</t>
  </si>
  <si>
    <t>March</t>
  </si>
  <si>
    <t>Total</t>
  </si>
  <si>
    <t>Name of Debtors</t>
  </si>
  <si>
    <t>Advances taken through Bills/Oustanding under Bils discounted</t>
  </si>
  <si>
    <t>Name of Creditor</t>
  </si>
  <si>
    <t>LC Creditors</t>
  </si>
  <si>
    <t>Name OF LC Creditors</t>
  </si>
  <si>
    <t>Upto 3 months</t>
  </si>
  <si>
    <t>&gt; 3 months upto 6 months</t>
  </si>
  <si>
    <t>&gt; 6 months upto 1 year</t>
  </si>
  <si>
    <t>More Than 1 Year</t>
  </si>
  <si>
    <t>LEI No./GST No./PAN of Debtor</t>
  </si>
  <si>
    <t>Months</t>
  </si>
  <si>
    <t>Frequency</t>
  </si>
  <si>
    <t>LEI No./GST No./PAN of Creditor</t>
  </si>
  <si>
    <t>LEI No./GST No./PAN of LC creditor</t>
  </si>
  <si>
    <t>Branch IFSC</t>
  </si>
  <si>
    <t>Signature of Borrower</t>
  </si>
  <si>
    <t>Inventory received on Job work (1)</t>
  </si>
  <si>
    <t>Inventory procured under LC (2)</t>
  </si>
  <si>
    <t>Obsolete Inventory (3)</t>
  </si>
  <si>
    <t>Sub Total (1+2+3)</t>
  </si>
  <si>
    <t>Date of Invoice</t>
  </si>
  <si>
    <t>Sr. NO.</t>
  </si>
  <si>
    <t>Sales Upto Last Month</t>
  </si>
  <si>
    <t>Sales During the Month</t>
  </si>
  <si>
    <t>Book debts as at the beginning of the month</t>
  </si>
  <si>
    <t>Fresh Book debts during the month</t>
  </si>
  <si>
    <t>Book debts realised during the month</t>
  </si>
  <si>
    <t>Total Ourstanding Book Debts</t>
  </si>
  <si>
    <t>Purchase Upto Last Month</t>
  </si>
  <si>
    <t>Total Purchase</t>
  </si>
  <si>
    <t>Particular</t>
  </si>
  <si>
    <t>TOTAL</t>
  </si>
  <si>
    <t>Value (in Absolute Rs)</t>
  </si>
  <si>
    <t>Rate  (in Absolute Rs)</t>
  </si>
  <si>
    <t>*All values are to be filled in absolute terms</t>
  </si>
  <si>
    <t>Purchase During the Month</t>
  </si>
  <si>
    <t>in Absolute Rs.</t>
  </si>
  <si>
    <t>Amount (In Absolute Rs.)</t>
  </si>
  <si>
    <t>Amount (in Absolute Rs.)</t>
  </si>
  <si>
    <t>Sales (in Absolute Rs.)</t>
  </si>
  <si>
    <t>Debtors (in Absolute Rs.)</t>
  </si>
  <si>
    <t>Purchases/Creditors (in Absolute Rs.)</t>
  </si>
  <si>
    <t>Sanctioned Limit (in Absolute Rs.)</t>
  </si>
  <si>
    <t>Yearly</t>
  </si>
  <si>
    <t>Value In Absolute Rs.</t>
  </si>
  <si>
    <t>Debtors (receivables including bills)</t>
  </si>
  <si>
    <t>Yellow Colour cells are input fields</t>
  </si>
  <si>
    <t>*Yellow Colour cells are input fields</t>
  </si>
  <si>
    <t>Invoice No.</t>
  </si>
  <si>
    <t>Remarks (if any)</t>
  </si>
  <si>
    <t>Stock in Progress</t>
  </si>
  <si>
    <t>Finished Goods</t>
  </si>
  <si>
    <t>Monthly</t>
  </si>
  <si>
    <t xml:space="preserve">Periodicity </t>
  </si>
  <si>
    <t>Sundry Creditors (Including LC Creditors)</t>
  </si>
  <si>
    <t>EKTA ENTEPRISES</t>
  </si>
  <si>
    <t>C00000968</t>
  </si>
  <si>
    <t>0490008700003292</t>
  </si>
  <si>
    <t>PUNB0049000</t>
  </si>
  <si>
    <t>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</si>
</sst>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i/>
      <sz val="11"/>
      <color rgb="FF7F7F7F"/>
      <name val="Calibri"/>
      <family val="2"/>
      <scheme val="minor"/>
    </font>
    <font>
      <b/>
      <sz val="12"/>
      <color rgb="FF000000"/>
      <name val="Arial"/>
      <family val="2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5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10D3B"/>
        <bgColor indexed="64"/>
      </patternFill>
    </fill>
    <fill>
      <patternFill patternType="solid">
        <fgColor rgb="FFE0CCCE"/>
        <bgColor indexed="64"/>
      </patternFill>
    </fill>
    <fill>
      <patternFill patternType="solid">
        <fgColor rgb="FFFFD699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15" fillId="0" borderId="0" applyFont="0" applyFill="0" applyBorder="0" applyAlignment="0" applyProtection="0"/>
  </cellStyleXfs>
  <cellXfs count="92">
    <xf numFmtId="0" fontId="0" fillId="0" borderId="0" xfId="0"/>
    <xf numFmtId="0" fontId="10" fillId="3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 applyProtection="1">
      <alignment horizontal="center" vertical="center"/>
      <protection locked="0"/>
    </xf>
    <xf numFmtId="2" fontId="2" fillId="5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0" borderId="0" xfId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2" fontId="10" fillId="3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2" fontId="3" fillId="3" borderId="1" xfId="0" applyNumberFormat="1" applyFont="1" applyFill="1" applyBorder="1" applyAlignment="1">
      <alignment horizontal="center" vertical="center" wrapText="1"/>
    </xf>
    <xf numFmtId="0" fontId="6" fillId="5" borderId="5" xfId="0" applyFont="1" applyFill="1" applyBorder="1" applyAlignment="1" applyProtection="1">
      <alignment vertical="center"/>
      <protection locked="0"/>
    </xf>
    <xf numFmtId="0" fontId="7" fillId="2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6" fillId="5" borderId="1" xfId="0" applyFont="1" applyFill="1" applyBorder="1" applyAlignment="1" applyProtection="1">
      <alignment horizontal="left" vertical="center" wrapText="1"/>
      <protection locked="0"/>
    </xf>
    <xf numFmtId="0" fontId="7" fillId="2" borderId="1" xfId="0" applyFont="1" applyFill="1" applyBorder="1" applyAlignment="1" applyProtection="1">
      <alignment wrapText="1"/>
      <protection locked="0"/>
    </xf>
    <xf numFmtId="0" fontId="10" fillId="3" borderId="6" xfId="0" applyFont="1" applyFill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 applyProtection="1">
      <alignment vertical="center"/>
      <protection locked="0"/>
    </xf>
    <xf numFmtId="0" fontId="9" fillId="3" borderId="1" xfId="0" applyFont="1" applyFill="1" applyBorder="1" applyAlignment="1">
      <alignment horizontal="center"/>
    </xf>
    <xf numFmtId="2" fontId="11" fillId="3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>
      <alignment wrapText="1"/>
    </xf>
    <xf numFmtId="2" fontId="10" fillId="3" borderId="1" xfId="0" applyNumberFormat="1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left" vertical="center" wrapText="1"/>
    </xf>
    <xf numFmtId="2" fontId="0" fillId="0" borderId="0" xfId="0" applyNumberFormat="1"/>
    <xf numFmtId="14" fontId="0" fillId="5" borderId="1" xfId="0" applyNumberFormat="1" applyFill="1" applyBorder="1" applyAlignment="1" applyProtection="1">
      <alignment horizontal="left"/>
      <protection locked="0"/>
    </xf>
    <xf numFmtId="0" fontId="10" fillId="3" borderId="17" xfId="0" applyFont="1" applyFill="1" applyBorder="1" applyAlignment="1">
      <alignment horizontal="center" vertical="center" wrapText="1"/>
    </xf>
    <xf numFmtId="2" fontId="2" fillId="5" borderId="18" xfId="0" applyNumberFormat="1" applyFont="1" applyFill="1" applyBorder="1" applyAlignment="1" applyProtection="1">
      <alignment horizontal="center" vertical="center"/>
      <protection locked="0"/>
    </xf>
    <xf numFmtId="2" fontId="10" fillId="3" borderId="20" xfId="0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0" fillId="3" borderId="24" xfId="0" applyFont="1" applyFill="1" applyBorder="1" applyAlignment="1">
      <alignment horizontal="center" vertical="center" wrapText="1"/>
    </xf>
    <xf numFmtId="0" fontId="0" fillId="5" borderId="17" xfId="0" applyFill="1" applyBorder="1" applyAlignment="1" applyProtection="1">
      <alignment horizontal="center"/>
      <protection locked="0"/>
    </xf>
    <xf numFmtId="2" fontId="10" fillId="3" borderId="18" xfId="0" applyNumberFormat="1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10" fillId="3" borderId="1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 applyProtection="1">
      <alignment horizontal="center" vertical="center"/>
      <protection locked="0"/>
    </xf>
    <xf numFmtId="0" fontId="12" fillId="5" borderId="3" xfId="0" applyFont="1" applyFill="1" applyBorder="1" applyAlignment="1" applyProtection="1">
      <alignment horizontal="center" vertical="center"/>
      <protection locked="0"/>
    </xf>
    <xf numFmtId="0" fontId="12" fillId="5" borderId="4" xfId="0" applyFont="1" applyFill="1" applyBorder="1" applyAlignment="1" applyProtection="1">
      <alignment horizontal="center" vertical="center"/>
      <protection locked="0"/>
    </xf>
    <xf numFmtId="49" fontId="8" fillId="5" borderId="2" xfId="0" applyNumberFormat="1" applyFont="1" applyFill="1" applyBorder="1" applyAlignment="1" applyProtection="1">
      <alignment horizontal="center" vertical="center"/>
      <protection locked="0"/>
    </xf>
    <xf numFmtId="49" fontId="8" fillId="5" borderId="3" xfId="0" applyNumberFormat="1" applyFont="1" applyFill="1" applyBorder="1" applyAlignment="1" applyProtection="1">
      <alignment horizontal="center" vertical="center"/>
      <protection locked="0"/>
    </xf>
    <xf numFmtId="49" fontId="8" fillId="5" borderId="4" xfId="0" applyNumberFormat="1" applyFont="1" applyFill="1" applyBorder="1" applyAlignment="1" applyProtection="1">
      <alignment horizontal="center" vertical="center"/>
      <protection locked="0"/>
    </xf>
    <xf numFmtId="49" fontId="12" fillId="5" borderId="2" xfId="0" applyNumberFormat="1" applyFont="1" applyFill="1" applyBorder="1" applyAlignment="1" applyProtection="1">
      <alignment horizontal="center" vertical="center"/>
      <protection locked="0"/>
    </xf>
    <xf numFmtId="49" fontId="12" fillId="5" borderId="3" xfId="0" applyNumberFormat="1" applyFont="1" applyFill="1" applyBorder="1" applyAlignment="1" applyProtection="1">
      <alignment horizontal="center" vertical="center"/>
      <protection locked="0"/>
    </xf>
    <xf numFmtId="49" fontId="12" fillId="5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5" borderId="11" xfId="0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2" fillId="5" borderId="7" xfId="0" applyFont="1" applyFill="1" applyBorder="1" applyAlignment="1">
      <alignment horizontal="right"/>
    </xf>
    <xf numFmtId="0" fontId="2" fillId="5" borderId="11" xfId="0" applyFont="1" applyFill="1" applyBorder="1" applyAlignment="1">
      <alignment horizontal="right"/>
    </xf>
    <xf numFmtId="0" fontId="2" fillId="5" borderId="8" xfId="0" applyFont="1" applyFill="1" applyBorder="1" applyAlignment="1">
      <alignment horizontal="right"/>
    </xf>
    <xf numFmtId="0" fontId="2" fillId="5" borderId="9" xfId="0" applyFont="1" applyFill="1" applyBorder="1" applyAlignment="1">
      <alignment horizontal="right"/>
    </xf>
    <xf numFmtId="0" fontId="2" fillId="5" borderId="12" xfId="0" applyFont="1" applyFill="1" applyBorder="1" applyAlignment="1">
      <alignment horizontal="right"/>
    </xf>
    <xf numFmtId="0" fontId="2" fillId="5" borderId="10" xfId="0" applyFont="1" applyFill="1" applyBorder="1" applyAlignment="1">
      <alignment horizontal="right"/>
    </xf>
    <xf numFmtId="49" fontId="2" fillId="5" borderId="2" xfId="0" applyNumberFormat="1" applyFont="1" applyFill="1" applyBorder="1" applyAlignment="1" applyProtection="1">
      <alignment horizontal="center" vertical="center"/>
      <protection locked="0"/>
    </xf>
    <xf numFmtId="49" fontId="2" fillId="5" borderId="3" xfId="0" applyNumberFormat="1" applyFont="1" applyFill="1" applyBorder="1" applyAlignment="1" applyProtection="1">
      <alignment horizontal="center" vertical="center"/>
      <protection locked="0"/>
    </xf>
    <xf numFmtId="49" fontId="2" fillId="5" borderId="4" xfId="0" applyNumberFormat="1" applyFont="1" applyFill="1" applyBorder="1" applyAlignment="1" applyProtection="1">
      <alignment horizontal="center" vertical="center"/>
      <protection locked="0"/>
    </xf>
    <xf numFmtId="2" fontId="12" fillId="5" borderId="2" xfId="0" applyNumberFormat="1" applyFont="1" applyFill="1" applyBorder="1" applyAlignment="1" applyProtection="1">
      <alignment horizontal="center" vertical="center"/>
      <protection locked="0"/>
    </xf>
    <xf numFmtId="2" fontId="12" fillId="5" borderId="3" xfId="0" applyNumberFormat="1" applyFont="1" applyFill="1" applyBorder="1" applyAlignment="1" applyProtection="1">
      <alignment horizontal="center" vertical="center"/>
      <protection locked="0"/>
    </xf>
    <xf numFmtId="2" fontId="12" fillId="5" borderId="4" xfId="0" applyNumberFormat="1" applyFont="1" applyFill="1" applyBorder="1" applyAlignment="1" applyProtection="1">
      <alignment horizontal="center" vertical="center"/>
      <protection locked="0"/>
    </xf>
    <xf numFmtId="0" fontId="8" fillId="5" borderId="2" xfId="2" applyNumberFormat="1" applyFont="1" applyFill="1" applyBorder="1" applyAlignment="1" applyProtection="1">
      <alignment horizontal="center" vertical="center"/>
      <protection locked="0"/>
    </xf>
    <xf numFmtId="0" fontId="8" fillId="5" borderId="3" xfId="2" applyNumberFormat="1" applyFont="1" applyFill="1" applyBorder="1" applyAlignment="1" applyProtection="1">
      <alignment horizontal="center" vertical="center"/>
      <protection locked="0"/>
    </xf>
    <xf numFmtId="0" fontId="8" fillId="5" borderId="4" xfId="2" applyNumberFormat="1" applyFont="1" applyFill="1" applyBorder="1" applyAlignment="1" applyProtection="1">
      <alignment horizontal="center" vertical="center"/>
      <protection locked="0"/>
    </xf>
    <xf numFmtId="0" fontId="10" fillId="3" borderId="1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 applyProtection="1">
      <alignment horizontal="right"/>
      <protection locked="0"/>
    </xf>
    <xf numFmtId="0" fontId="2" fillId="5" borderId="1" xfId="0" applyFont="1" applyFill="1" applyBorder="1" applyAlignment="1" applyProtection="1">
      <alignment horizontal="right"/>
      <protection locked="0"/>
    </xf>
    <xf numFmtId="0" fontId="2" fillId="5" borderId="18" xfId="0" applyFont="1" applyFill="1" applyBorder="1" applyAlignment="1" applyProtection="1">
      <alignment horizontal="right"/>
      <protection locked="0"/>
    </xf>
    <xf numFmtId="0" fontId="2" fillId="5" borderId="25" xfId="0" applyFont="1" applyFill="1" applyBorder="1" applyAlignment="1" applyProtection="1">
      <alignment horizontal="right"/>
      <protection locked="0"/>
    </xf>
    <xf numFmtId="0" fontId="2" fillId="5" borderId="26" xfId="0" applyFont="1" applyFill="1" applyBorder="1" applyAlignment="1" applyProtection="1">
      <alignment horizontal="right"/>
      <protection locked="0"/>
    </xf>
    <xf numFmtId="0" fontId="2" fillId="5" borderId="27" xfId="0" applyFont="1" applyFill="1" applyBorder="1" applyAlignment="1" applyProtection="1">
      <alignment horizontal="right"/>
      <protection locked="0"/>
    </xf>
    <xf numFmtId="0" fontId="10" fillId="3" borderId="14" xfId="0" applyFont="1" applyFill="1" applyBorder="1" applyAlignment="1">
      <alignment horizontal="center" vertical="center" wrapText="1"/>
    </xf>
    <xf numFmtId="0" fontId="10" fillId="3" borderId="15" xfId="0" applyFont="1" applyFill="1" applyBorder="1" applyAlignment="1">
      <alignment horizontal="center" vertical="center" wrapText="1"/>
    </xf>
    <xf numFmtId="0" fontId="10" fillId="3" borderId="17" xfId="0" applyFont="1" applyFill="1" applyBorder="1" applyAlignment="1">
      <alignment horizontal="center" vertical="center" wrapText="1"/>
    </xf>
    <xf numFmtId="0" fontId="10" fillId="3" borderId="19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10" fillId="3" borderId="3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 applyProtection="1">
      <alignment horizontal="center"/>
      <protection locked="0"/>
    </xf>
    <xf numFmtId="0" fontId="5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right"/>
    </xf>
  </cellXfs>
  <cellStyles count="3">
    <cellStyle name="Comma" xfId="2" builtinId="3"/>
    <cellStyle name="Explanatory Text" xfId="1" builtinId="53"/>
    <cellStyle name="Normal" xfId="0" builtinId="0"/>
  </cellStyles>
  <dxfs count="25">
    <dxf>
      <font>
        <b/>
        <sz val="10"/>
        <color theme="0"/>
        <name val="Arial"/>
        <scheme val="none"/>
      </font>
      <numFmt numFmtId="2" formatCode="0.00"/>
      <fill>
        <patternFill patternType="solid">
          <fgColor indexed="64"/>
          <bgColor rgb="FFA10D3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fill>
        <patternFill patternType="solid">
          <fgColor indexed="64"/>
          <bgColor rgb="FFFFD69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fill>
        <patternFill patternType="solid">
          <fgColor indexed="64"/>
          <bgColor rgb="FFFFD699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fill>
        <patternFill patternType="solid">
          <fgColor indexed="64"/>
          <bgColor rgb="FFFFD69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fill>
        <patternFill patternType="solid">
          <fgColor indexed="64"/>
          <bgColor rgb="FFFFD69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ill>
        <patternFill patternType="solid">
          <fgColor indexed="64"/>
          <bgColor rgb="FFFFD69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FFD69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FFD699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ill>
        <patternFill patternType="solid">
          <fgColor indexed="64"/>
          <bgColor rgb="FFFFD69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  <bottom style="thin">
          <color auto="1"/>
        </bottom>
      </border>
    </dxf>
    <dxf>
      <protection locked="0" hidden="0"/>
    </dxf>
    <dxf>
      <protection locked="1" hidden="0"/>
    </dxf>
    <dxf>
      <fill>
        <patternFill patternType="solid">
          <fgColor indexed="64"/>
          <bgColor rgb="FFF0E7E8"/>
        </patternFill>
      </fill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fill>
        <patternFill patternType="solid">
          <fgColor indexed="64"/>
          <bgColor rgb="FFF0E7E8"/>
        </patternFill>
      </fill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fill>
        <patternFill patternType="solid">
          <fgColor indexed="64"/>
          <bgColor rgb="FFF0E7E8"/>
        </patternFill>
      </fill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fill>
        <patternFill patternType="solid">
          <fgColor indexed="64"/>
          <bgColor rgb="FFF0E7E8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rgb="FFF0E7E8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rgb="FFF0E7E8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rgb="FFF0E7E8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solid">
          <fgColor indexed="64"/>
          <bgColor rgb="FFF0E7E8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rgb="FFA10D3B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0E7E8"/>
      <color rgb="FFA10D3B"/>
      <color rgb="FFFFD699"/>
      <color rgb="FFE0CCCE"/>
      <color rgb="FFB03A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819150</xdr:colOff>
      <xdr:row>9</xdr:row>
      <xdr:rowOff>104775</xdr:rowOff>
    </xdr:from>
    <xdr:to>
      <xdr:col>5</xdr:col>
      <xdr:colOff>676275</xdr:colOff>
      <xdr:row>9</xdr:row>
      <xdr:rowOff>438150</xdr:rowOff>
    </xdr:to>
    <xdr:pic macro="[0]!Gen_upld_file">
      <xdr:nvPicPr>
        <xdr:cNvPr id="13314" name="Picture 2">
          <a:extLst>
            <a:ext uri="{FF2B5EF4-FFF2-40B4-BE49-F238E27FC236}">
              <a16:creationId xmlns:a16="http://schemas.microsoft.com/office/drawing/2014/main" id="{00000000-0008-0000-0000-000002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67125" y="1971675"/>
          <a:ext cx="29622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57150</xdr:rowOff>
        </xdr:from>
        <xdr:to>
          <xdr:col>1</xdr:col>
          <xdr:colOff>285750</xdr:colOff>
          <xdr:row>22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21</xdr:row>
          <xdr:rowOff>47625</xdr:rowOff>
        </xdr:from>
        <xdr:to>
          <xdr:col>4</xdr:col>
          <xdr:colOff>742950</xdr:colOff>
          <xdr:row>22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54</xdr:row>
          <xdr:rowOff>47625</xdr:rowOff>
        </xdr:from>
        <xdr:to>
          <xdr:col>0</xdr:col>
          <xdr:colOff>1838325</xdr:colOff>
          <xdr:row>54</xdr:row>
          <xdr:rowOff>400050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54</xdr:row>
          <xdr:rowOff>47625</xdr:rowOff>
        </xdr:from>
        <xdr:to>
          <xdr:col>5</xdr:col>
          <xdr:colOff>800100</xdr:colOff>
          <xdr:row>54</xdr:row>
          <xdr:rowOff>400050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24</xdr:row>
          <xdr:rowOff>85725</xdr:rowOff>
        </xdr:from>
        <xdr:to>
          <xdr:col>0</xdr:col>
          <xdr:colOff>2047875</xdr:colOff>
          <xdr:row>24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24</xdr:row>
          <xdr:rowOff>85725</xdr:rowOff>
        </xdr:from>
        <xdr:to>
          <xdr:col>2</xdr:col>
          <xdr:colOff>1076325</xdr:colOff>
          <xdr:row>24</xdr:row>
          <xdr:rowOff>419100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</xdr:row>
          <xdr:rowOff>47625</xdr:rowOff>
        </xdr:from>
        <xdr:to>
          <xdr:col>1</xdr:col>
          <xdr:colOff>209550</xdr:colOff>
          <xdr:row>11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1885950</xdr:colOff>
          <xdr:row>10</xdr:row>
          <xdr:rowOff>57150</xdr:rowOff>
        </xdr:from>
        <xdr:to>
          <xdr:col>2</xdr:col>
          <xdr:colOff>1466850</xdr:colOff>
          <xdr:row>11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7:G21" totalsRowShown="0" headerRowDxfId="21" dataDxfId="19" headerRowBorderDxfId="20">
  <tableColumns count="7">
    <tableColumn id="1" name="Sr. NO." dataDxfId="18"/>
    <tableColumn id="2" name="Where Lying" dataDxfId="17"/>
    <tableColumn id="3" name="Particular of Goods" dataDxfId="16"/>
    <tableColumn id="4" name="Quantity" dataDxfId="15"/>
    <tableColumn id="5" name="Rate  (in Absolute Rs)" dataDxfId="14"/>
    <tableColumn id="6" name="Value (in Absolute Rs)" dataDxfId="13">
      <calculatedColumnFormula>D8*E8</calculatedColumnFormula>
    </tableColumn>
    <tableColumn id="7" name="Remarks (if any)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1:I54" totalsRowShown="0" headerRowDxfId="11" dataDxfId="10" tableBorderDxfId="9">
  <tableColumns count="9">
    <tableColumn id="1" name="Name of Debtors" dataDxfId="8"/>
    <tableColumn id="2" name="Invoice No." dataDxfId="7"/>
    <tableColumn id="3" name="Date of Invoice" dataDxfId="6"/>
    <tableColumn id="4" name="LEI No./GST No./PAN of Debtor" dataDxfId="5"/>
    <tableColumn id="5" name="Upto 3 months" dataDxfId="4"/>
    <tableColumn id="6" name="&gt; 3 months upto 6 months" dataDxfId="3"/>
    <tableColumn id="7" name="&gt; 6 months upto 1 year" dataDxfId="2"/>
    <tableColumn id="8" name="More Than 1 Year" dataDxfId="1"/>
    <tableColumn id="9" name="Total" dataDxfId="0">
      <calculatedColumnFormula>SUM(Table2[[#This Row],[Upto 3 months]:[More Than 1 Year]])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A10D3B"/>
  </sheetPr>
  <dimension ref="A1:R61"/>
  <sheetViews>
    <sheetView tabSelected="1" zoomScaleNormal="100" workbookViewId="0">
      <selection activeCell="B9" sqref="B9:F9"/>
    </sheetView>
  </sheetViews>
  <sheetFormatPr defaultColWidth="0" defaultRowHeight="15" zeroHeight="1" x14ac:dyDescent="0.25"/>
  <cols>
    <col min="1" max="1" width="42.7109375" style="52" customWidth="1"/>
    <col min="2" max="2" width="13.5703125" style="52" customWidth="1"/>
    <col min="3" max="3" width="16.7109375" style="52" customWidth="1"/>
    <col min="4" max="4" width="5.28515625" style="52" customWidth="1"/>
    <col min="5" max="5" width="11" style="52" customWidth="1"/>
    <col min="6" max="6" width="21.85546875" style="52" customWidth="1"/>
    <col min="7" max="7" width="14.5703125" style="6" hidden="1" customWidth="1"/>
    <col min="8" max="8" width="42.140625" style="6" hidden="1" customWidth="1"/>
    <col min="9" max="9" width="40.42578125" style="6" hidden="1" customWidth="1"/>
    <col min="10" max="10" width="18" style="6" hidden="1" customWidth="1"/>
    <col min="11" max="14" width="9.140625" style="6" hidden="1" customWidth="1"/>
    <col min="15" max="15" width="13.140625" style="6" hidden="1" customWidth="1"/>
    <col min="16" max="16" width="13.5703125" style="6" hidden="1" customWidth="1"/>
    <col min="17" max="17" width="9.140625" style="6" hidden="1" customWidth="1"/>
    <col min="18" max="18" width="18.5703125" style="6" hidden="1" customWidth="1"/>
    <col min="19" max="16384" width="17.28515625" style="6" hidden="1"/>
  </cols>
  <sheetData>
    <row r="1" spans="1:18" x14ac:dyDescent="0.25">
      <c r="A1" s="1" t="s">
        <v>0</v>
      </c>
      <c r="B1" s="40" t="s">
        <v>88</v>
      </c>
      <c r="C1" s="41"/>
      <c r="D1" s="41"/>
      <c r="E1" s="41"/>
      <c r="F1" s="42"/>
      <c r="G1" s="5"/>
      <c r="I1" s="5"/>
      <c r="J1" s="7"/>
    </row>
    <row r="2" spans="1:18" x14ac:dyDescent="0.25">
      <c r="A2" s="1" t="s">
        <v>1</v>
      </c>
      <c r="B2" s="46" t="s">
        <v>89</v>
      </c>
      <c r="C2" s="47"/>
      <c r="D2" s="47"/>
      <c r="E2" s="47"/>
      <c r="F2" s="48"/>
      <c r="G2" s="5"/>
      <c r="H2" s="5"/>
      <c r="I2" s="5"/>
    </row>
    <row r="3" spans="1:18" x14ac:dyDescent="0.25">
      <c r="A3" s="1" t="s">
        <v>2</v>
      </c>
      <c r="B3" s="43" t="s">
        <v>90</v>
      </c>
      <c r="C3" s="44"/>
      <c r="D3" s="44"/>
      <c r="E3" s="44"/>
      <c r="F3" s="45"/>
      <c r="G3" s="5"/>
      <c r="H3" s="5"/>
      <c r="I3" s="5"/>
    </row>
    <row r="4" spans="1:18" x14ac:dyDescent="0.25">
      <c r="A4" s="1" t="s">
        <v>47</v>
      </c>
      <c r="B4" s="43" t="s">
        <v>91</v>
      </c>
      <c r="C4" s="44"/>
      <c r="D4" s="44"/>
      <c r="E4" s="44"/>
      <c r="F4" s="45"/>
      <c r="G4" s="5"/>
      <c r="H4" s="5"/>
      <c r="I4" s="5"/>
    </row>
    <row r="5" spans="1:18" x14ac:dyDescent="0.25">
      <c r="A5" s="1" t="s">
        <v>3</v>
      </c>
      <c r="B5" s="66" t="s">
        <v>92</v>
      </c>
      <c r="C5" s="67"/>
      <c r="D5" s="67"/>
      <c r="E5" s="67"/>
      <c r="F5" s="68"/>
      <c r="G5" s="5"/>
      <c r="H5" s="5"/>
      <c r="I5" s="5"/>
    </row>
    <row r="6" spans="1:18" x14ac:dyDescent="0.25">
      <c r="A6" s="1" t="s">
        <v>75</v>
      </c>
      <c r="B6" s="63">
        <v>39000000</v>
      </c>
      <c r="C6" s="64"/>
      <c r="D6" s="64"/>
      <c r="E6" s="64"/>
      <c r="F6" s="65"/>
      <c r="H6" s="5"/>
      <c r="I6" s="5"/>
      <c r="O6" s="8" t="s">
        <v>43</v>
      </c>
      <c r="P6" s="8" t="s">
        <v>44</v>
      </c>
      <c r="Q6" s="8" t="s">
        <v>7</v>
      </c>
      <c r="R6" s="8" t="s">
        <v>8</v>
      </c>
    </row>
    <row r="7" spans="1:18" x14ac:dyDescent="0.25">
      <c r="A7" s="1" t="s">
        <v>86</v>
      </c>
      <c r="B7" s="60" t="s">
        <v>85</v>
      </c>
      <c r="C7" s="61"/>
      <c r="D7" s="61"/>
      <c r="E7" s="61"/>
      <c r="F7" s="62"/>
      <c r="G7" s="5"/>
      <c r="H7" s="5"/>
      <c r="I7" s="5"/>
      <c r="O7" s="6" t="s">
        <v>29</v>
      </c>
      <c r="P7" s="6" t="s">
        <v>10</v>
      </c>
      <c r="Q7" s="9">
        <f ca="1">YEAR(TODAY())</f>
        <v>2025</v>
      </c>
      <c r="R7" s="6" t="s">
        <v>11</v>
      </c>
    </row>
    <row r="8" spans="1:18" x14ac:dyDescent="0.25">
      <c r="A8" s="1" t="s">
        <v>5</v>
      </c>
      <c r="B8" s="60" t="s">
        <v>21</v>
      </c>
      <c r="C8" s="61"/>
      <c r="D8" s="61"/>
      <c r="E8" s="61"/>
      <c r="F8" s="62"/>
      <c r="G8" s="5"/>
      <c r="H8" s="5"/>
      <c r="I8" s="5"/>
      <c r="O8" s="6" t="s">
        <v>30</v>
      </c>
      <c r="P8" s="6" t="s">
        <v>85</v>
      </c>
      <c r="Q8" s="9">
        <f ca="1">YEAR(TODAY())-1</f>
        <v>2024</v>
      </c>
      <c r="R8" s="6" t="s">
        <v>14</v>
      </c>
    </row>
    <row r="9" spans="1:18" ht="27" customHeight="1" x14ac:dyDescent="0.25">
      <c r="A9" s="1" t="s">
        <v>9</v>
      </c>
      <c r="B9" s="60">
        <v>2025</v>
      </c>
      <c r="C9" s="61"/>
      <c r="D9" s="61"/>
      <c r="E9" s="61"/>
      <c r="F9" s="62"/>
      <c r="G9" s="5"/>
      <c r="O9" s="6" t="s">
        <v>31</v>
      </c>
      <c r="P9" s="6" t="s">
        <v>17</v>
      </c>
      <c r="Q9" s="9"/>
      <c r="R9" s="6" t="s">
        <v>19</v>
      </c>
    </row>
    <row r="10" spans="1:18" ht="47.25" customHeight="1" x14ac:dyDescent="0.25">
      <c r="A10" s="49"/>
      <c r="B10" s="50"/>
      <c r="C10" s="50"/>
      <c r="D10" s="50"/>
      <c r="E10" s="50"/>
      <c r="F10" s="51"/>
      <c r="G10" s="5"/>
      <c r="O10" s="6" t="s">
        <v>6</v>
      </c>
      <c r="P10" s="6" t="s">
        <v>20</v>
      </c>
      <c r="Q10" s="9"/>
      <c r="R10" s="6" t="s">
        <v>22</v>
      </c>
    </row>
    <row r="11" spans="1:18" hidden="1" x14ac:dyDescent="0.25">
      <c r="A11" s="54" t="s">
        <v>48</v>
      </c>
      <c r="B11" s="55"/>
      <c r="C11" s="55"/>
      <c r="D11" s="55"/>
      <c r="E11" s="55"/>
      <c r="F11" s="56"/>
      <c r="G11" s="5"/>
      <c r="O11" s="6" t="s">
        <v>16</v>
      </c>
      <c r="P11" s="6" t="s">
        <v>76</v>
      </c>
      <c r="Q11" s="9"/>
      <c r="R11" s="6" t="s">
        <v>24</v>
      </c>
    </row>
    <row r="12" spans="1:18" hidden="1" x14ac:dyDescent="0.25">
      <c r="A12" s="57"/>
      <c r="B12" s="58"/>
      <c r="C12" s="58"/>
      <c r="D12" s="58"/>
      <c r="E12" s="58"/>
      <c r="F12" s="59"/>
      <c r="G12" s="5"/>
      <c r="O12" s="6" t="s">
        <v>18</v>
      </c>
      <c r="Q12" s="9"/>
    </row>
    <row r="13" spans="1:18" ht="18.75" hidden="1" customHeight="1" x14ac:dyDescent="0.25">
      <c r="A13" s="52" t="s">
        <v>80</v>
      </c>
      <c r="G13" s="5"/>
      <c r="O13" s="6" t="s">
        <v>21</v>
      </c>
      <c r="Q13" s="9"/>
    </row>
    <row r="14" spans="1:18" ht="15" hidden="1" customHeight="1" x14ac:dyDescent="0.25">
      <c r="A14" s="53"/>
      <c r="B14" s="53"/>
      <c r="C14" s="53"/>
      <c r="D14" s="53"/>
      <c r="E14" s="53"/>
      <c r="F14" s="53"/>
      <c r="G14" s="5"/>
      <c r="O14" s="6" t="s">
        <v>23</v>
      </c>
      <c r="Q14" s="9"/>
    </row>
    <row r="15" spans="1:18" ht="15" hidden="1" customHeight="1" x14ac:dyDescent="0.25">
      <c r="A15" s="53"/>
      <c r="B15" s="53"/>
      <c r="C15" s="53"/>
      <c r="D15" s="53"/>
      <c r="E15" s="53"/>
      <c r="F15" s="53"/>
      <c r="G15" s="5"/>
      <c r="O15" s="6" t="s">
        <v>25</v>
      </c>
      <c r="Q15" s="9"/>
    </row>
    <row r="16" spans="1:18" ht="15" hidden="1" customHeight="1" x14ac:dyDescent="0.25">
      <c r="A16" s="53"/>
      <c r="B16" s="53"/>
      <c r="C16" s="53"/>
      <c r="D16" s="53"/>
      <c r="E16" s="53"/>
      <c r="F16" s="53"/>
      <c r="G16" s="5"/>
      <c r="O16" s="6" t="s">
        <v>26</v>
      </c>
      <c r="Q16" s="9"/>
    </row>
    <row r="17" spans="1:17" ht="15" hidden="1" customHeight="1" x14ac:dyDescent="0.25">
      <c r="A17" s="53"/>
      <c r="B17" s="53"/>
      <c r="C17" s="53"/>
      <c r="D17" s="53"/>
      <c r="E17" s="53"/>
      <c r="F17" s="53"/>
      <c r="G17" s="5"/>
      <c r="O17" s="6" t="s">
        <v>27</v>
      </c>
      <c r="Q17" s="9"/>
    </row>
    <row r="18" spans="1:17" ht="15" hidden="1" customHeight="1" x14ac:dyDescent="0.25">
      <c r="A18" s="53"/>
      <c r="B18" s="53"/>
      <c r="C18" s="53"/>
      <c r="D18" s="53"/>
      <c r="E18" s="53"/>
      <c r="F18" s="53"/>
      <c r="G18" s="5"/>
      <c r="O18" s="6" t="s">
        <v>28</v>
      </c>
      <c r="Q18" s="9"/>
    </row>
    <row r="19" spans="1:17" ht="15" hidden="1" customHeight="1" x14ac:dyDescent="0.25">
      <c r="A19" s="53"/>
      <c r="B19" s="53"/>
      <c r="C19" s="53"/>
      <c r="D19" s="53"/>
      <c r="E19" s="53"/>
      <c r="F19" s="53"/>
      <c r="G19" s="5"/>
      <c r="Q19" s="9"/>
    </row>
    <row r="20" spans="1:17" ht="15" hidden="1" customHeight="1" x14ac:dyDescent="0.25">
      <c r="A20" s="53"/>
      <c r="B20" s="53"/>
      <c r="C20" s="53"/>
      <c r="D20" s="53"/>
      <c r="E20" s="53"/>
      <c r="F20" s="53"/>
      <c r="G20" s="5"/>
      <c r="Q20" s="9"/>
    </row>
    <row r="21" spans="1:17" ht="15" hidden="1" customHeight="1" x14ac:dyDescent="0.25">
      <c r="A21" s="53"/>
      <c r="B21" s="53"/>
      <c r="C21" s="53"/>
      <c r="D21" s="53"/>
      <c r="E21" s="53"/>
      <c r="F21" s="53"/>
      <c r="G21" s="5"/>
      <c r="Q21" s="9"/>
    </row>
    <row r="22" spans="1:17" s="8" customFormat="1" ht="15" hidden="1" customHeight="1" x14ac:dyDescent="0.25">
      <c r="A22" s="53"/>
      <c r="B22" s="53"/>
      <c r="C22" s="53"/>
      <c r="D22" s="53"/>
      <c r="E22" s="53"/>
      <c r="F22" s="53"/>
      <c r="G22" s="10"/>
    </row>
    <row r="23" spans="1:17" ht="15" hidden="1" customHeight="1" x14ac:dyDescent="0.25">
      <c r="A23" s="53"/>
      <c r="B23" s="53"/>
      <c r="C23" s="53"/>
      <c r="D23" s="53"/>
      <c r="E23" s="53"/>
      <c r="F23" s="53"/>
      <c r="G23" s="5"/>
    </row>
    <row r="24" spans="1:17" ht="15" hidden="1" customHeight="1" x14ac:dyDescent="0.25">
      <c r="A24" s="53"/>
      <c r="B24" s="53"/>
      <c r="C24" s="53"/>
      <c r="D24" s="53"/>
      <c r="E24" s="53"/>
      <c r="F24" s="53"/>
      <c r="G24" s="5"/>
    </row>
    <row r="25" spans="1:17" ht="15" hidden="1" customHeight="1" x14ac:dyDescent="0.25">
      <c r="A25" s="53"/>
      <c r="B25" s="53"/>
      <c r="C25" s="53"/>
      <c r="D25" s="53"/>
      <c r="E25" s="53"/>
      <c r="F25" s="53"/>
      <c r="G25" s="5"/>
    </row>
    <row r="26" spans="1:17" ht="15" hidden="1" customHeight="1" x14ac:dyDescent="0.25">
      <c r="A26" s="53"/>
      <c r="B26" s="53"/>
      <c r="C26" s="53"/>
      <c r="D26" s="53"/>
      <c r="E26" s="53"/>
      <c r="F26" s="53"/>
      <c r="G26" s="5"/>
    </row>
    <row r="27" spans="1:17" s="8" customFormat="1" ht="15" hidden="1" customHeight="1" x14ac:dyDescent="0.25">
      <c r="A27" s="53"/>
      <c r="B27" s="53"/>
      <c r="C27" s="53"/>
      <c r="D27" s="53"/>
      <c r="E27" s="53"/>
      <c r="F27" s="53"/>
      <c r="G27" s="10"/>
    </row>
    <row r="28" spans="1:17" s="11" customFormat="1" ht="51" hidden="1" customHeight="1" x14ac:dyDescent="0.25">
      <c r="A28" s="53"/>
      <c r="B28" s="53"/>
      <c r="C28" s="53"/>
      <c r="D28" s="53"/>
      <c r="E28" s="53"/>
      <c r="F28" s="53"/>
    </row>
    <row r="29" spans="1:17" s="8" customFormat="1" ht="15" hidden="1" customHeight="1" x14ac:dyDescent="0.25">
      <c r="A29" s="53"/>
      <c r="B29" s="53"/>
      <c r="C29" s="53"/>
      <c r="D29" s="53"/>
      <c r="E29" s="53"/>
      <c r="F29" s="53"/>
      <c r="I29" s="11"/>
    </row>
    <row r="30" spans="1:17" ht="15" hidden="1" customHeight="1" x14ac:dyDescent="0.25">
      <c r="A30" s="53"/>
      <c r="B30" s="53"/>
      <c r="C30" s="53"/>
      <c r="D30" s="53"/>
      <c r="E30" s="53"/>
      <c r="F30" s="53"/>
    </row>
    <row r="31" spans="1:17" ht="15" hidden="1" customHeight="1" x14ac:dyDescent="0.25">
      <c r="A31" s="53"/>
      <c r="B31" s="53"/>
      <c r="C31" s="53"/>
      <c r="D31" s="53"/>
      <c r="E31" s="53"/>
      <c r="F31" s="53"/>
    </row>
    <row r="32" spans="1:17" ht="15" hidden="1" customHeight="1" x14ac:dyDescent="0.25">
      <c r="A32" s="53"/>
      <c r="B32" s="53"/>
      <c r="C32" s="53"/>
      <c r="D32" s="53"/>
      <c r="E32" s="53"/>
      <c r="F32" s="53"/>
    </row>
    <row r="33" spans="1:8" ht="15" hidden="1" customHeight="1" x14ac:dyDescent="0.25">
      <c r="A33" s="53"/>
      <c r="B33" s="53"/>
      <c r="C33" s="53"/>
      <c r="D33" s="53"/>
      <c r="E33" s="53"/>
      <c r="F33" s="53"/>
    </row>
    <row r="34" spans="1:8" ht="15" hidden="1" customHeight="1" x14ac:dyDescent="0.25">
      <c r="A34" s="53"/>
      <c r="B34" s="53"/>
      <c r="C34" s="53"/>
      <c r="D34" s="53"/>
      <c r="E34" s="53"/>
      <c r="F34" s="53"/>
    </row>
    <row r="35" spans="1:8" ht="15" hidden="1" customHeight="1" x14ac:dyDescent="0.25">
      <c r="A35" s="53"/>
      <c r="B35" s="53"/>
      <c r="C35" s="53"/>
      <c r="D35" s="53"/>
      <c r="E35" s="53"/>
      <c r="F35" s="53"/>
    </row>
    <row r="36" spans="1:8" ht="15" hidden="1" customHeight="1" x14ac:dyDescent="0.25">
      <c r="A36" s="53"/>
      <c r="B36" s="53"/>
      <c r="C36" s="53"/>
      <c r="D36" s="53"/>
      <c r="E36" s="53"/>
      <c r="F36" s="53"/>
    </row>
    <row r="37" spans="1:8" ht="15" hidden="1" customHeight="1" x14ac:dyDescent="0.25">
      <c r="A37" s="53"/>
      <c r="B37" s="53"/>
      <c r="C37" s="53"/>
      <c r="D37" s="53"/>
      <c r="E37" s="53"/>
      <c r="F37" s="53"/>
    </row>
    <row r="38" spans="1:8" ht="15" hidden="1" customHeight="1" x14ac:dyDescent="0.25">
      <c r="A38" s="53"/>
      <c r="B38" s="53"/>
      <c r="C38" s="53"/>
      <c r="D38" s="53"/>
      <c r="E38" s="53"/>
      <c r="F38" s="53"/>
    </row>
    <row r="39" spans="1:8" s="8" customFormat="1" ht="15" hidden="1" customHeight="1" x14ac:dyDescent="0.25">
      <c r="A39" s="53"/>
      <c r="B39" s="53"/>
      <c r="C39" s="53"/>
      <c r="D39" s="53"/>
      <c r="E39" s="53"/>
      <c r="F39" s="53"/>
    </row>
    <row r="40" spans="1:8" s="8" customFormat="1" ht="15" hidden="1" customHeight="1" x14ac:dyDescent="0.25">
      <c r="A40" s="53"/>
      <c r="B40" s="53"/>
      <c r="C40" s="53"/>
      <c r="D40" s="53"/>
      <c r="E40" s="53"/>
      <c r="F40" s="53"/>
    </row>
    <row r="41" spans="1:8" s="8" customFormat="1" ht="15" hidden="1" customHeight="1" x14ac:dyDescent="0.25">
      <c r="A41" s="53"/>
      <c r="B41" s="53"/>
      <c r="C41" s="53"/>
      <c r="D41" s="53"/>
      <c r="E41" s="53"/>
      <c r="F41" s="53"/>
    </row>
    <row r="42" spans="1:8" ht="15" hidden="1" customHeight="1" x14ac:dyDescent="0.25">
      <c r="A42" s="53"/>
      <c r="B42" s="53"/>
      <c r="C42" s="53"/>
      <c r="D42" s="53"/>
      <c r="E42" s="53"/>
      <c r="F42" s="53"/>
    </row>
    <row r="43" spans="1:8" ht="15" hidden="1" customHeight="1" x14ac:dyDescent="0.25">
      <c r="A43" s="53"/>
      <c r="B43" s="53"/>
      <c r="C43" s="53"/>
      <c r="D43" s="53"/>
      <c r="E43" s="53"/>
      <c r="F43" s="53"/>
      <c r="H43" s="11"/>
    </row>
    <row r="44" spans="1:8" ht="15" hidden="1" customHeight="1" x14ac:dyDescent="0.25">
      <c r="A44" s="53"/>
      <c r="B44" s="53"/>
      <c r="C44" s="53"/>
      <c r="D44" s="53"/>
      <c r="E44" s="53"/>
      <c r="F44" s="53"/>
    </row>
    <row r="45" spans="1:8" ht="15" hidden="1" customHeight="1" x14ac:dyDescent="0.25">
      <c r="A45" s="53"/>
      <c r="B45" s="53"/>
      <c r="C45" s="53"/>
      <c r="D45" s="53"/>
      <c r="E45" s="53"/>
      <c r="F45" s="53"/>
    </row>
    <row r="46" spans="1:8" ht="14.25" hidden="1" customHeight="1" x14ac:dyDescent="0.25">
      <c r="A46" s="53"/>
      <c r="B46" s="53"/>
      <c r="C46" s="53"/>
      <c r="D46" s="53"/>
      <c r="E46" s="53"/>
      <c r="F46" s="53"/>
    </row>
    <row r="47" spans="1:8" ht="15" hidden="1" customHeight="1" x14ac:dyDescent="0.25">
      <c r="A47" s="53"/>
      <c r="B47" s="53"/>
      <c r="C47" s="53"/>
      <c r="D47" s="53"/>
      <c r="E47" s="53"/>
      <c r="F47" s="53"/>
    </row>
    <row r="48" spans="1:8" ht="15" hidden="1" customHeight="1" x14ac:dyDescent="0.25">
      <c r="A48" s="53"/>
      <c r="B48" s="53"/>
      <c r="C48" s="53"/>
      <c r="D48" s="53"/>
      <c r="E48" s="53"/>
      <c r="F48" s="53"/>
    </row>
    <row r="49" spans="1:6" ht="15" hidden="1" customHeight="1" x14ac:dyDescent="0.25">
      <c r="A49" s="53"/>
      <c r="B49" s="53"/>
      <c r="C49" s="53"/>
      <c r="D49" s="53"/>
      <c r="E49" s="53"/>
      <c r="F49" s="53"/>
    </row>
    <row r="50" spans="1:6" ht="15" hidden="1" customHeight="1" x14ac:dyDescent="0.25">
      <c r="A50" s="53"/>
      <c r="B50" s="53"/>
      <c r="C50" s="53"/>
      <c r="D50" s="53"/>
      <c r="E50" s="53"/>
      <c r="F50" s="53"/>
    </row>
    <row r="51" spans="1:6" ht="15" hidden="1" customHeight="1" x14ac:dyDescent="0.25">
      <c r="A51" s="53"/>
      <c r="B51" s="53"/>
      <c r="C51" s="53"/>
      <c r="D51" s="53"/>
      <c r="E51" s="53"/>
      <c r="F51" s="53"/>
    </row>
    <row r="52" spans="1:6" ht="15" hidden="1" customHeight="1" x14ac:dyDescent="0.25">
      <c r="A52" s="53"/>
      <c r="B52" s="53"/>
      <c r="C52" s="53"/>
      <c r="D52" s="53"/>
      <c r="E52" s="53"/>
      <c r="F52" s="53"/>
    </row>
    <row r="53" spans="1:6" s="8" customFormat="1" ht="15" hidden="1" customHeight="1" x14ac:dyDescent="0.25">
      <c r="A53" s="53"/>
      <c r="B53" s="53"/>
      <c r="C53" s="53"/>
      <c r="D53" s="53"/>
      <c r="E53" s="53"/>
      <c r="F53" s="53"/>
    </row>
    <row r="54" spans="1:6" ht="15" hidden="1" customHeight="1" x14ac:dyDescent="0.25">
      <c r="A54" s="53"/>
      <c r="B54" s="53"/>
      <c r="C54" s="53"/>
      <c r="D54" s="53"/>
      <c r="E54" s="53"/>
      <c r="F54" s="53"/>
    </row>
    <row r="55" spans="1:6" ht="15" hidden="1" customHeight="1" x14ac:dyDescent="0.25">
      <c r="A55" s="53"/>
      <c r="B55" s="53"/>
      <c r="C55" s="53"/>
      <c r="D55" s="53"/>
      <c r="E55" s="53"/>
      <c r="F55" s="53"/>
    </row>
    <row r="56" spans="1:6" ht="15" hidden="1" customHeight="1" x14ac:dyDescent="0.25">
      <c r="A56" s="53"/>
      <c r="B56" s="53"/>
      <c r="C56" s="53"/>
      <c r="D56" s="53"/>
      <c r="E56" s="53"/>
      <c r="F56" s="53"/>
    </row>
    <row r="57" spans="1:6" ht="15" hidden="1" customHeight="1" x14ac:dyDescent="0.25">
      <c r="A57" s="53"/>
      <c r="B57" s="53"/>
      <c r="C57" s="53"/>
      <c r="D57" s="53"/>
      <c r="E57" s="53"/>
      <c r="F57" s="53"/>
    </row>
    <row r="58" spans="1:6" ht="15" hidden="1" customHeight="1" x14ac:dyDescent="0.25">
      <c r="A58" s="53"/>
      <c r="B58" s="53"/>
      <c r="C58" s="53"/>
      <c r="D58" s="53"/>
      <c r="E58" s="53"/>
      <c r="F58" s="53"/>
    </row>
    <row r="59" spans="1:6" ht="15" hidden="1" customHeight="1" x14ac:dyDescent="0.25">
      <c r="A59" s="53"/>
      <c r="B59" s="53"/>
      <c r="C59" s="53"/>
      <c r="D59" s="53"/>
      <c r="E59" s="53"/>
      <c r="F59" s="53"/>
    </row>
    <row r="60" spans="1:6" ht="15" hidden="1" customHeight="1" x14ac:dyDescent="0.25">
      <c r="A60" s="53"/>
      <c r="B60" s="53"/>
      <c r="C60" s="53"/>
      <c r="D60" s="53"/>
      <c r="E60" s="53"/>
      <c r="F60" s="53"/>
    </row>
    <row r="61" spans="1:6" s="8" customFormat="1" ht="30" hidden="1" customHeight="1" x14ac:dyDescent="0.25">
      <c r="A61" s="53"/>
      <c r="B61" s="53"/>
      <c r="C61" s="53"/>
      <c r="D61" s="53"/>
      <c r="E61" s="53"/>
      <c r="F61" s="53"/>
    </row>
  </sheetData>
  <sheetProtection algorithmName="SHA-512" hashValue="SDwynibvMuSNMqR0mE1yP4qQ+196/FxEGQN1i5YdtdtkHOyinLkkwEqpPu4F0alALxR5f6tfldI2VV8xB7OoVw==" saltValue="gJNpDfNexFW9ugeA804dFQ==" spinCount="100000" sheet="1" objects="1" scenarios="1" selectLockedCells="1"/>
  <mergeCells count="12">
    <mergeCell ref="B1:F1"/>
    <mergeCell ref="B3:F3"/>
    <mergeCell ref="B2:F2"/>
    <mergeCell ref="A10:F10"/>
    <mergeCell ref="A13:F1048576"/>
    <mergeCell ref="A11:F12"/>
    <mergeCell ref="B7:F7"/>
    <mergeCell ref="B8:F8"/>
    <mergeCell ref="B9:F9"/>
    <mergeCell ref="B4:F4"/>
    <mergeCell ref="B6:F6"/>
    <mergeCell ref="B5:F5"/>
  </mergeCells>
  <dataValidations count="9">
    <dataValidation type="list" allowBlank="1" showInputMessage="1" showErrorMessage="1" sqref="B8">
      <formula1>$O$7:$O$18</formula1>
    </dataValidation>
    <dataValidation type="list" allowBlank="1" showInputMessage="1" showErrorMessage="1" sqref="B7:F7">
      <formula1>$P$7:$P$11</formula1>
    </dataValidation>
    <dataValidation type="custom" operator="equal" allowBlank="1" showInputMessage="1" showErrorMessage="1" errorTitle="WRONG CUSTOMER ID" error="CBS Customer ID should be of 9 Digits only. Please Re-Check and Enter Correct Details." promptTitle="CBS Customer ID" prompt="Please enter 9 digit CBS Customer ID." sqref="B2:F2">
      <formula1>AND(LEN(B2)=9,ISNUMBER(SUMPRODUCT(SEARCH(MID(B2,ROW(INDIRECT("1:"&amp;LEN(B2))),1),"0123456789abcdefghijklmnopqrstuvwxyzABCDEFGHIJKLMNOPQRSTUVWXYZ"))))</formula1>
    </dataValidation>
    <dataValidation type="custom" allowBlank="1" showInputMessage="1" showErrorMessage="1" errorTitle="Wrong Value Entered" error="Special Character such as !@#$%^&amp;*() not allowed. Please Recheck and Enter again." promptTitle="Please input name of the Firm." prompt="Special Characters such as !@#$%^&amp;* are not allowed." sqref="B1:F1">
      <formula1>ISNUMBER(SUMPRODUCT(SEARCH(MID(B1,ROW(INDIRECT("1:"&amp;LEN(B1))),1),"0123456789abcdefghijklmnopqrstuvwxyzABCDEFGHIJKLMNOPQRSTUVWXYZ ")))</formula1>
    </dataValidation>
    <dataValidation type="custom" allowBlank="1" showInputMessage="1" showErrorMessage="1" errorTitle="WRONG ACCOUNT NUMBER" error="Entered Account Number is incorrect. Please Re-Check and Enter." promptTitle="Enter Account Number" prompt="Please enter correct PNB Bank Account Number here." sqref="B3:F3">
      <formula1>AND(LEN(B3)&lt;17,ISNUMBER(SUMPRODUCT(SEARCH(MID(B3,ROW(INDIRECT("1:"&amp;LEN(B3))),1),"0123456789abcdefghijklmnopqrstuvwxyzABCDEFGHIJKLMNOPQRSTUVWXYZ"))))</formula1>
    </dataValidation>
    <dataValidation type="custom" allowBlank="1" showInputMessage="1" showErrorMessage="1" errorTitle="WRONG IFSC CODE" error="Please recheck the Branch IFSC Code." promptTitle="Branch IFSC Code" prompt="Please input 11 digit PNB Branch IFSC Code here." sqref="B4:F4">
      <formula1>AND(LEFT(B4,5)="PUNB0",LEN(B4)=11,ISNUMBER(SUMPRODUCT(SEARCH(MID(B4,ROW(INDIRECT("1:"&amp;LEN(B4))),1),"0123456789abcdefghijklmnopqrstuvwxyzABCDEFGHIJKLMNOPQRSTUVWXYZ"))))</formula1>
    </dataValidation>
    <dataValidation type="custom" operator="greaterThanOrEqual" allowBlank="1" showInputMessage="1" showErrorMessage="1" errorTitle="Wrong Value Entered" error="Amount entered is incorrent or contain invalid characters. Please Recheck and enter." prompt="Please enter the Sanctioned Limit for the above mentioned Account Number" sqref="B6:F6">
      <formula1>AND(ISNUMBER(B6),LEN(B6)&lt;=12,ISNUMBER(SUMPRODUCT(SEARCH(MID(B6,ROW(INDIRECT("1:"&amp;LEN(B6))),1),"0123456789."))))</formula1>
    </dataValidation>
    <dataValidation type="list" allowBlank="1" showInputMessage="1" showErrorMessage="1" sqref="B9:F9">
      <formula1>$Q$7:$Q$8</formula1>
    </dataValidation>
    <dataValidation type="custom" allowBlank="1" showInputMessage="1" showErrorMessage="1" errorTitle="Wrong Value Entered" error="Numbers and Special Character such as !@#$%^&amp;*() not allowed. Please Recheck and Enter again." promptTitle="Facility Type" prompt="Please enter Facility Type of the above mentioned PNB Account Number." sqref="B5:F5">
      <formula1>ISNUMBER(SUMPRODUCT(SEARCH(MID(B5,ROW(INDIRECT("1:"&amp;LEN(B5))),1),"abcdefghijklmnopqrstuvwxyzABCDEFGHIJKLMNOPQRSTUVWXYZ ")))</formula1>
    </dataValidation>
  </dataValidations>
  <pageMargins left="0.7" right="0.7" top="0.75" bottom="0.75" header="0.3" footer="0.3"/>
  <pageSetup orientation="landscape" r:id="rId1"/>
  <colBreaks count="1" manualBreakCount="1">
    <brk id="6" max="17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D699"/>
  </sheetPr>
  <dimension ref="A1:M29"/>
  <sheetViews>
    <sheetView showGridLines="0" zoomScaleNormal="100" workbookViewId="0">
      <selection activeCell="G2" sqref="G2"/>
    </sheetView>
  </sheetViews>
  <sheetFormatPr defaultColWidth="0" defaultRowHeight="15" zeroHeight="1" x14ac:dyDescent="0.25"/>
  <cols>
    <col min="1" max="1" width="13.5703125" style="6" customWidth="1"/>
    <col min="2" max="2" width="25.42578125" style="6" customWidth="1"/>
    <col min="3" max="3" width="16.85546875" style="6" customWidth="1"/>
    <col min="4" max="4" width="15.7109375" style="6" customWidth="1"/>
    <col min="5" max="5" width="11" style="6" customWidth="1"/>
    <col min="6" max="6" width="18.140625" style="6" customWidth="1"/>
    <col min="7" max="7" width="22.5703125" style="6" customWidth="1"/>
    <col min="8" max="8" width="9.140625" style="6" hidden="1" customWidth="1"/>
    <col min="9" max="9" width="42.85546875" style="6" hidden="1" customWidth="1"/>
    <col min="10" max="10" width="22.140625" style="6" hidden="1" customWidth="1"/>
    <col min="11" max="11" width="40.140625" style="6" hidden="1" customWidth="1"/>
    <col min="12" max="13" width="0" style="6" hidden="1" customWidth="1"/>
    <col min="14" max="16384" width="23.5703125" style="6" hidden="1"/>
  </cols>
  <sheetData>
    <row r="1" spans="1:13" ht="18.75" x14ac:dyDescent="0.25">
      <c r="A1" s="69" t="s">
        <v>63</v>
      </c>
      <c r="B1" s="69"/>
      <c r="C1" s="69"/>
      <c r="D1" s="69"/>
      <c r="E1" s="69"/>
      <c r="F1" s="69"/>
      <c r="G1" s="1" t="s">
        <v>65</v>
      </c>
      <c r="I1" s="15" t="s">
        <v>80</v>
      </c>
      <c r="M1" s="6">
        <f>MAX($A8:$A21)</f>
        <v>13</v>
      </c>
    </row>
    <row r="2" spans="1:13" ht="38.25" customHeight="1" x14ac:dyDescent="0.35">
      <c r="A2" s="69" t="s">
        <v>49</v>
      </c>
      <c r="B2" s="69"/>
      <c r="C2" s="69"/>
      <c r="D2" s="69"/>
      <c r="E2" s="69"/>
      <c r="F2" s="69"/>
      <c r="G2" s="3"/>
      <c r="I2" s="16" t="s">
        <v>67</v>
      </c>
      <c r="J2" s="16"/>
    </row>
    <row r="3" spans="1:13" ht="25.5" customHeight="1" x14ac:dyDescent="0.25">
      <c r="A3" s="69" t="s">
        <v>50</v>
      </c>
      <c r="B3" s="69"/>
      <c r="C3" s="69"/>
      <c r="D3" s="69"/>
      <c r="E3" s="69"/>
      <c r="F3" s="69"/>
      <c r="G3" s="3"/>
    </row>
    <row r="4" spans="1:13" x14ac:dyDescent="0.25">
      <c r="A4" s="69" t="s">
        <v>51</v>
      </c>
      <c r="B4" s="69"/>
      <c r="C4" s="69"/>
      <c r="D4" s="69"/>
      <c r="E4" s="69"/>
      <c r="F4" s="69"/>
      <c r="G4" s="3"/>
      <c r="K4" s="6" t="s">
        <v>11</v>
      </c>
    </row>
    <row r="5" spans="1:13" x14ac:dyDescent="0.25">
      <c r="A5" s="69" t="s">
        <v>52</v>
      </c>
      <c r="B5" s="69"/>
      <c r="C5" s="69"/>
      <c r="D5" s="69"/>
      <c r="E5" s="69"/>
      <c r="F5" s="69"/>
      <c r="G5" s="12">
        <f>SUM(G2:G4)</f>
        <v>0</v>
      </c>
      <c r="K5" s="6" t="s">
        <v>14</v>
      </c>
    </row>
    <row r="6" spans="1:13" ht="19.5" customHeight="1" x14ac:dyDescent="0.25">
      <c r="A6"/>
      <c r="B6"/>
      <c r="C6"/>
      <c r="D6"/>
      <c r="E6"/>
      <c r="F6"/>
      <c r="G6"/>
      <c r="K6" s="6" t="s">
        <v>83</v>
      </c>
    </row>
    <row r="7" spans="1:13" ht="38.25" x14ac:dyDescent="0.25">
      <c r="A7" s="1" t="s">
        <v>54</v>
      </c>
      <c r="B7" s="1" t="s">
        <v>13</v>
      </c>
      <c r="C7" s="1" t="s">
        <v>12</v>
      </c>
      <c r="D7" s="1" t="s">
        <v>15</v>
      </c>
      <c r="E7" s="1" t="s">
        <v>66</v>
      </c>
      <c r="F7" s="1" t="s">
        <v>65</v>
      </c>
      <c r="G7" s="1" t="s">
        <v>82</v>
      </c>
      <c r="K7" s="6" t="s">
        <v>84</v>
      </c>
    </row>
    <row r="8" spans="1:13" x14ac:dyDescent="0.25">
      <c r="A8" s="1">
        <f>ROW()-7</f>
        <v>1</v>
      </c>
      <c r="B8" s="2"/>
      <c r="C8" s="2"/>
      <c r="D8" s="3"/>
      <c r="E8" s="3"/>
      <c r="F8" s="12">
        <f t="shared" ref="F8:F15" si="0">D8*E8</f>
        <v>0</v>
      </c>
      <c r="G8" s="4"/>
      <c r="K8" s="6" t="s">
        <v>24</v>
      </c>
    </row>
    <row r="9" spans="1:13" x14ac:dyDescent="0.25">
      <c r="A9" s="1">
        <f t="shared" ref="A9:A20" si="1">ROW()-7</f>
        <v>2</v>
      </c>
      <c r="B9" s="2"/>
      <c r="C9" s="2"/>
      <c r="D9" s="3"/>
      <c r="E9" s="3"/>
      <c r="F9" s="12">
        <f t="shared" si="0"/>
        <v>0</v>
      </c>
      <c r="G9" s="4"/>
    </row>
    <row r="10" spans="1:13" x14ac:dyDescent="0.25">
      <c r="A10" s="1">
        <f t="shared" si="1"/>
        <v>3</v>
      </c>
      <c r="B10" s="2"/>
      <c r="C10" s="2"/>
      <c r="D10" s="3"/>
      <c r="E10" s="3"/>
      <c r="F10" s="12">
        <f t="shared" si="0"/>
        <v>0</v>
      </c>
      <c r="G10" s="4"/>
    </row>
    <row r="11" spans="1:13" x14ac:dyDescent="0.25">
      <c r="A11" s="1">
        <f t="shared" si="1"/>
        <v>4</v>
      </c>
      <c r="B11" s="2"/>
      <c r="C11" s="2"/>
      <c r="D11" s="3"/>
      <c r="E11" s="3"/>
      <c r="F11" s="12">
        <f t="shared" si="0"/>
        <v>0</v>
      </c>
      <c r="G11" s="4"/>
    </row>
    <row r="12" spans="1:13" x14ac:dyDescent="0.25">
      <c r="A12" s="1">
        <f t="shared" si="1"/>
        <v>5</v>
      </c>
      <c r="B12" s="2"/>
      <c r="C12" s="2"/>
      <c r="D12" s="3"/>
      <c r="E12" s="3"/>
      <c r="F12" s="12">
        <f t="shared" si="0"/>
        <v>0</v>
      </c>
      <c r="G12" s="4"/>
    </row>
    <row r="13" spans="1:13" x14ac:dyDescent="0.25">
      <c r="A13" s="1">
        <f t="shared" si="1"/>
        <v>6</v>
      </c>
      <c r="B13" s="2"/>
      <c r="C13" s="2"/>
      <c r="D13" s="3"/>
      <c r="E13" s="3"/>
      <c r="F13" s="12">
        <f t="shared" si="0"/>
        <v>0</v>
      </c>
      <c r="G13" s="4"/>
    </row>
    <row r="14" spans="1:13" x14ac:dyDescent="0.25">
      <c r="A14" s="1">
        <f t="shared" si="1"/>
        <v>7</v>
      </c>
      <c r="B14" s="2"/>
      <c r="C14" s="2"/>
      <c r="D14" s="3"/>
      <c r="E14" s="3"/>
      <c r="F14" s="12">
        <f t="shared" si="0"/>
        <v>0</v>
      </c>
      <c r="G14" s="4"/>
    </row>
    <row r="15" spans="1:13" x14ac:dyDescent="0.25">
      <c r="A15" s="1">
        <f t="shared" si="1"/>
        <v>8</v>
      </c>
      <c r="B15" s="2"/>
      <c r="C15" s="2"/>
      <c r="D15" s="3"/>
      <c r="E15" s="3"/>
      <c r="F15" s="12">
        <f t="shared" si="0"/>
        <v>0</v>
      </c>
      <c r="G15" s="4"/>
    </row>
    <row r="16" spans="1:13" x14ac:dyDescent="0.25">
      <c r="A16" s="1">
        <f t="shared" si="1"/>
        <v>9</v>
      </c>
      <c r="B16" s="2"/>
      <c r="C16" s="2"/>
      <c r="D16" s="3"/>
      <c r="E16" s="3"/>
      <c r="F16" s="12">
        <f t="shared" ref="F16" si="2">D16*E16</f>
        <v>0</v>
      </c>
      <c r="G16" s="4"/>
    </row>
    <row r="17" spans="1:7" x14ac:dyDescent="0.25">
      <c r="A17" s="1">
        <f t="shared" si="1"/>
        <v>10</v>
      </c>
      <c r="B17" s="2"/>
      <c r="C17" s="2"/>
      <c r="D17" s="3"/>
      <c r="E17" s="3"/>
      <c r="F17" s="12">
        <f t="shared" ref="F17" si="3">D17*E17</f>
        <v>0</v>
      </c>
      <c r="G17" s="4"/>
    </row>
    <row r="18" spans="1:7" x14ac:dyDescent="0.25">
      <c r="A18" s="1">
        <f t="shared" si="1"/>
        <v>11</v>
      </c>
      <c r="B18" s="2"/>
      <c r="C18" s="2"/>
      <c r="D18" s="3"/>
      <c r="E18" s="3"/>
      <c r="F18" s="12">
        <f t="shared" ref="F18" si="4">D18*E18</f>
        <v>0</v>
      </c>
      <c r="G18" s="4"/>
    </row>
    <row r="19" spans="1:7" x14ac:dyDescent="0.25">
      <c r="A19" s="1">
        <f t="shared" si="1"/>
        <v>12</v>
      </c>
      <c r="B19" s="2"/>
      <c r="C19" s="2"/>
      <c r="D19" s="3"/>
      <c r="E19" s="3"/>
      <c r="F19" s="12">
        <f t="shared" ref="F19" si="5">D19*E19</f>
        <v>0</v>
      </c>
      <c r="G19" s="4"/>
    </row>
    <row r="20" spans="1:7" x14ac:dyDescent="0.25">
      <c r="A20" s="39">
        <f t="shared" si="1"/>
        <v>13</v>
      </c>
      <c r="B20" s="2"/>
      <c r="C20" s="2"/>
      <c r="D20" s="3"/>
      <c r="E20" s="3"/>
      <c r="F20" s="12">
        <f t="shared" ref="F20" si="6">D20*E20</f>
        <v>0</v>
      </c>
      <c r="G20" s="4"/>
    </row>
    <row r="21" spans="1:7" ht="19.5" customHeight="1" x14ac:dyDescent="0.25">
      <c r="A21" s="1" t="s">
        <v>32</v>
      </c>
      <c r="B21" s="13"/>
      <c r="C21" s="13"/>
      <c r="D21" s="14"/>
      <c r="E21" s="14"/>
      <c r="F21" s="12">
        <f ca="1">SUM(INDIRECT("F8:F"&amp;ROW()-1))</f>
        <v>0</v>
      </c>
      <c r="G21" s="13"/>
    </row>
    <row r="22" spans="1:7" customFormat="1" x14ac:dyDescent="0.25"/>
    <row r="23" spans="1:7" customFormat="1" x14ac:dyDescent="0.25"/>
    <row r="24" spans="1:7" hidden="1" x14ac:dyDescent="0.25">
      <c r="A24"/>
      <c r="B24"/>
      <c r="C24"/>
      <c r="D24"/>
      <c r="E24"/>
      <c r="F24"/>
      <c r="G24"/>
    </row>
    <row r="25" spans="1:7" hidden="1" x14ac:dyDescent="0.25">
      <c r="A25"/>
      <c r="B25"/>
      <c r="C25"/>
      <c r="D25"/>
      <c r="E25"/>
      <c r="F25"/>
      <c r="G25"/>
    </row>
    <row r="26" spans="1:7" ht="10.9" hidden="1" customHeight="1" x14ac:dyDescent="0.25">
      <c r="A26"/>
      <c r="B26"/>
      <c r="C26"/>
      <c r="D26"/>
      <c r="E26"/>
      <c r="F26" s="28"/>
      <c r="G26"/>
    </row>
    <row r="27" spans="1:7" hidden="1" x14ac:dyDescent="0.25">
      <c r="A27"/>
      <c r="B27"/>
      <c r="C27"/>
      <c r="D27"/>
      <c r="E27"/>
      <c r="F27"/>
      <c r="G27"/>
    </row>
    <row r="28" spans="1:7" hidden="1" x14ac:dyDescent="0.25">
      <c r="A28"/>
      <c r="B28"/>
      <c r="C28"/>
      <c r="D28"/>
      <c r="E28"/>
      <c r="F28"/>
      <c r="G28"/>
    </row>
    <row r="29" spans="1:7" hidden="1" x14ac:dyDescent="0.25">
      <c r="A29"/>
      <c r="B29"/>
      <c r="C29"/>
      <c r="D29"/>
      <c r="E29"/>
      <c r="F29"/>
      <c r="G29"/>
    </row>
  </sheetData>
  <sheetProtection password="AEFD" sheet="1" objects="1" scenarios="1" selectLockedCells="1"/>
  <mergeCells count="5">
    <mergeCell ref="A1:F1"/>
    <mergeCell ref="A2:F2"/>
    <mergeCell ref="A3:F3"/>
    <mergeCell ref="A4:F4"/>
    <mergeCell ref="A5:F5"/>
  </mergeCells>
  <conditionalFormatting sqref="D16:E19">
    <cfRule type="expression" dxfId="24" priority="15">
      <formula>AND(ISNUMBER(D16)=FALSE,ISBLANK(D16)=FALSE)</formula>
    </cfRule>
  </conditionalFormatting>
  <conditionalFormatting sqref="D8:E15">
    <cfRule type="expression" dxfId="23" priority="2">
      <formula>AND(ISNUMBER(D8)=FALSE,ISBLANK(D8)=FALSE)</formula>
    </cfRule>
  </conditionalFormatting>
  <conditionalFormatting sqref="D20:E20">
    <cfRule type="expression" dxfId="22" priority="1">
      <formula>AND(ISNUMBER(D20)=FALSE,ISBLANK(D20)=FALSE)</formula>
    </cfRule>
  </conditionalFormatting>
  <dataValidations count="6">
    <dataValidation type="decimal" operator="greaterThanOrEqual" allowBlank="1" showInputMessage="1" showErrorMessage="1" errorTitle="WRONG VALUE ENTERED" error="Only Positive Numerical Values are allowed." sqref="D8:E20">
      <formula1>0</formula1>
    </dataValidation>
    <dataValidation type="custom" allowBlank="1" showInputMessage="1" showErrorMessage="1" errorTitle="WRONG VALUE ENTERED" error="Special Characters such as @#%&amp;!&lt;&gt; are not allowed." sqref="B8:C20">
      <formula1>ISNUMBER(SUMPRODUCT(SEARCH(MID(B8,ROW(INDIRECT("1:"&amp;LEN(B8))),1),"0123456789abcdefghijklmnopqrstuvwxyzABCDEFGHIJKLMNOPQRSTUVWXYZ ")))</formula1>
    </dataValidation>
    <dataValidation type="custom" allowBlank="1" showInputMessage="1" showErrorMessage="1" errorTitle="WRONG VALUE ENTERED" error="Length of Remarks should be of max 50 Characters and Special Characters such as @#%&amp;!&lt;&gt; are not allowed. Please Re-Check." promptTitle="Enter Measuring Unit of Stock" prompt="Please enter measuring unit of stock e.g., KG, Litre, etc." sqref="G8:G20">
      <formula1>AND(LEN(G8)&lt;51,ISNUMBER(SUMPRODUCT(SEARCH(MID(G8,ROW(INDIRECT("1:"&amp;LEN(G8))),1),"0123456789abcdefghijklmnopqrstuvwxyzABCDEFGHIJKLMNOPQRSTUVWXYZ "))))</formula1>
    </dataValidation>
    <dataValidation type="decimal" operator="greaterThanOrEqual" allowBlank="1" showInputMessage="1" showErrorMessage="1" errorTitle="WRONG VALUE ENTERED" error="Only Positive Numerical Values are allowed." promptTitle=" " prompt="Please enter inventory received on job work, any amount entered here will be deducted from valure of inventory_x000a_" sqref="G2">
      <formula1>0</formula1>
    </dataValidation>
    <dataValidation type="decimal" operator="greaterThanOrEqual" allowBlank="1" showInputMessage="1" showErrorMessage="1" errorTitle="WRONG VALUE ENTERED" error="Only Positive Numerical Values are allowed." promptTitle=" " prompt="Please enter inventory procured under LC, any amount entered here will be deducted from valure of inventory." sqref="G3">
      <formula1>0</formula1>
    </dataValidation>
    <dataValidation type="decimal" operator="greaterThanOrEqual" allowBlank="1" showInputMessage="1" showErrorMessage="1" errorTitle="WRONG VALUE ENTERED" error="Only Positive Numerical Values are allowed." promptTitle=" " prompt="Please enter obsolete/no longer in use inventory, any amount entered here will be deducted from valure of inventory." sqref="G4">
      <formula1>0</formula1>
    </dataValidation>
  </dataValidations>
  <pageMargins left="0.7" right="0.7" top="0.75" bottom="0.75" header="0.3" footer="0.3"/>
  <pageSetup scale="5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ROW_Inventory">
                <anchor moveWithCells="1" sizeWithCells="1">
                  <from>
                    <xdr:col>0</xdr:col>
                    <xdr:colOff>0</xdr:colOff>
                    <xdr:row>21</xdr:row>
                    <xdr:rowOff>57150</xdr:rowOff>
                  </from>
                  <to>
                    <xdr:col>1</xdr:col>
                    <xdr:colOff>285750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_ROW_Inventory">
                <anchor moveWithCells="1" sizeWithCells="1">
                  <from>
                    <xdr:col>3</xdr:col>
                    <xdr:colOff>609600</xdr:colOff>
                    <xdr:row>21</xdr:row>
                    <xdr:rowOff>47625</xdr:rowOff>
                  </from>
                  <to>
                    <xdr:col>4</xdr:col>
                    <xdr:colOff>742950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A10D3B"/>
  </sheetPr>
  <dimension ref="A1:T114"/>
  <sheetViews>
    <sheetView showGridLines="0" topLeftCell="A40" zoomScaleNormal="100" workbookViewId="0">
      <selection activeCell="A56" sqref="A56:I57"/>
    </sheetView>
  </sheetViews>
  <sheetFormatPr defaultColWidth="0" defaultRowHeight="15" zeroHeight="1" x14ac:dyDescent="0.25"/>
  <cols>
    <col min="1" max="1" width="34.42578125" style="6" customWidth="1"/>
    <col min="2" max="2" width="14.42578125" style="6" customWidth="1"/>
    <col min="3" max="3" width="14.7109375" style="6" bestFit="1" customWidth="1"/>
    <col min="4" max="4" width="21.7109375" style="6" bestFit="1" customWidth="1"/>
    <col min="5" max="5" width="15.140625" style="6" customWidth="1"/>
    <col min="6" max="6" width="13.140625" style="6" customWidth="1"/>
    <col min="7" max="7" width="13.5703125" style="6" customWidth="1"/>
    <col min="8" max="8" width="11.28515625" style="6" customWidth="1"/>
    <col min="9" max="9" width="14.42578125" style="6" customWidth="1"/>
    <col min="10" max="10" width="5.7109375" style="6" hidden="1" customWidth="1"/>
    <col min="11" max="11" width="3" style="6" hidden="1" customWidth="1"/>
    <col min="12" max="12" width="55.85546875" style="6" hidden="1" customWidth="1"/>
    <col min="13" max="13" width="8.85546875" style="6" hidden="1" customWidth="1"/>
    <col min="14" max="14" width="38.85546875" style="6" hidden="1" customWidth="1"/>
    <col min="15" max="16" width="9.140625" style="6" hidden="1" customWidth="1"/>
    <col min="17" max="17" width="26.28515625" style="6" hidden="1" customWidth="1"/>
    <col min="18" max="18" width="9.140625" style="6" hidden="1" customWidth="1"/>
    <col min="19" max="19" width="20.7109375" style="6" hidden="1" customWidth="1"/>
    <col min="20" max="20" width="0.28515625" style="6" hidden="1" customWidth="1"/>
    <col min="21" max="16384" width="9.140625" style="6" hidden="1"/>
  </cols>
  <sheetData>
    <row r="1" spans="1:13" ht="18.75" customHeight="1" x14ac:dyDescent="0.25">
      <c r="A1" s="76" t="s">
        <v>34</v>
      </c>
      <c r="B1" s="77"/>
      <c r="C1" s="77"/>
      <c r="D1" s="77"/>
      <c r="E1" s="77"/>
      <c r="F1" s="77"/>
      <c r="G1" s="77"/>
      <c r="H1" s="77"/>
      <c r="I1" s="83" t="s">
        <v>77</v>
      </c>
      <c r="L1" s="18" t="s">
        <v>79</v>
      </c>
      <c r="M1" s="6">
        <f>MAX(ROWS(Table2[Name of Debtors]))-1</f>
        <v>42</v>
      </c>
    </row>
    <row r="2" spans="1:13" ht="21" customHeight="1" x14ac:dyDescent="0.35">
      <c r="A2" s="78"/>
      <c r="B2" s="69"/>
      <c r="C2" s="69"/>
      <c r="D2" s="69"/>
      <c r="E2" s="69"/>
      <c r="F2" s="69"/>
      <c r="G2" s="69"/>
      <c r="H2" s="69"/>
      <c r="I2" s="84"/>
      <c r="L2" s="19" t="s">
        <v>67</v>
      </c>
    </row>
    <row r="3" spans="1:13" ht="4.5" customHeight="1" x14ac:dyDescent="0.25">
      <c r="A3" s="78"/>
      <c r="B3" s="69"/>
      <c r="C3" s="69"/>
      <c r="D3" s="69"/>
      <c r="E3" s="69"/>
      <c r="F3" s="69"/>
      <c r="G3" s="69"/>
      <c r="H3" s="69"/>
      <c r="I3" s="84"/>
    </row>
    <row r="4" spans="1:13" x14ac:dyDescent="0.25">
      <c r="A4" s="78" t="s">
        <v>38</v>
      </c>
      <c r="B4" s="69"/>
      <c r="C4" s="69"/>
      <c r="D4" s="69"/>
      <c r="E4" s="69"/>
      <c r="F4" s="69"/>
      <c r="G4" s="69"/>
      <c r="H4" s="69"/>
      <c r="I4" s="31"/>
    </row>
    <row r="5" spans="1:13" ht="25.5" customHeight="1" x14ac:dyDescent="0.25">
      <c r="A5" s="78" t="s">
        <v>39</v>
      </c>
      <c r="B5" s="69"/>
      <c r="C5" s="69"/>
      <c r="D5" s="69"/>
      <c r="E5" s="69"/>
      <c r="F5" s="69"/>
      <c r="G5" s="69"/>
      <c r="H5" s="69"/>
      <c r="I5" s="31"/>
    </row>
    <row r="6" spans="1:13" x14ac:dyDescent="0.25">
      <c r="A6" s="78" t="s">
        <v>40</v>
      </c>
      <c r="B6" s="69"/>
      <c r="C6" s="69"/>
      <c r="D6" s="69"/>
      <c r="E6" s="69"/>
      <c r="F6" s="69"/>
      <c r="G6" s="69"/>
      <c r="H6" s="69"/>
      <c r="I6" s="31"/>
    </row>
    <row r="7" spans="1:13" x14ac:dyDescent="0.25">
      <c r="A7" s="78" t="s">
        <v>41</v>
      </c>
      <c r="B7" s="69"/>
      <c r="C7" s="69"/>
      <c r="D7" s="69"/>
      <c r="E7" s="69"/>
      <c r="F7" s="69"/>
      <c r="G7" s="69"/>
      <c r="H7" s="69"/>
      <c r="I7" s="31"/>
    </row>
    <row r="8" spans="1:13" x14ac:dyDescent="0.25">
      <c r="A8" s="79" t="s">
        <v>32</v>
      </c>
      <c r="B8" s="80"/>
      <c r="C8" s="80"/>
      <c r="D8" s="80"/>
      <c r="E8" s="80"/>
      <c r="F8" s="80"/>
      <c r="G8" s="80"/>
      <c r="H8" s="80"/>
      <c r="I8" s="32">
        <f>SUM(I4:I7)</f>
        <v>0</v>
      </c>
    </row>
    <row r="9" spans="1:13" customFormat="1" x14ac:dyDescent="0.25">
      <c r="A9" s="37"/>
      <c r="I9" s="38"/>
    </row>
    <row r="10" spans="1:13" ht="15" customHeight="1" x14ac:dyDescent="0.25">
      <c r="A10" s="78" t="s">
        <v>78</v>
      </c>
      <c r="B10" s="69"/>
      <c r="C10" s="69"/>
      <c r="D10" s="69"/>
      <c r="E10" s="81" t="s">
        <v>69</v>
      </c>
      <c r="F10" s="81"/>
      <c r="G10" s="81"/>
      <c r="H10" s="81"/>
      <c r="I10" s="82"/>
    </row>
    <row r="11" spans="1:13" ht="51" customHeight="1" x14ac:dyDescent="0.25">
      <c r="A11" s="33" t="s">
        <v>33</v>
      </c>
      <c r="B11" s="20" t="s">
        <v>81</v>
      </c>
      <c r="C11" s="20" t="s">
        <v>53</v>
      </c>
      <c r="D11" s="20" t="s">
        <v>42</v>
      </c>
      <c r="E11" s="21" t="s">
        <v>38</v>
      </c>
      <c r="F11" s="21" t="s">
        <v>39</v>
      </c>
      <c r="G11" s="21" t="s">
        <v>40</v>
      </c>
      <c r="H11" s="21" t="s">
        <v>41</v>
      </c>
      <c r="I11" s="34" t="s">
        <v>32</v>
      </c>
    </row>
    <row r="12" spans="1:13" s="17" customFormat="1" x14ac:dyDescent="0.25">
      <c r="A12" s="35"/>
      <c r="B12" s="35"/>
      <c r="C12" s="29"/>
      <c r="D12" s="2"/>
      <c r="E12" s="3"/>
      <c r="F12" s="3"/>
      <c r="G12" s="3"/>
      <c r="H12" s="3"/>
      <c r="I12" s="36">
        <f>SUM(Table2[[#This Row],[Upto 3 months]:[More Than 1 Year]])</f>
        <v>0</v>
      </c>
    </row>
    <row r="13" spans="1:13" s="17" customFormat="1" x14ac:dyDescent="0.25">
      <c r="A13" s="35"/>
      <c r="B13" s="35"/>
      <c r="C13" s="29"/>
      <c r="D13" s="2"/>
      <c r="E13" s="3"/>
      <c r="F13" s="3"/>
      <c r="G13" s="3"/>
      <c r="H13" s="3"/>
      <c r="I13" s="36">
        <f>SUM(Table2[[#This Row],[Upto 3 months]:[More Than 1 Year]])</f>
        <v>0</v>
      </c>
    </row>
    <row r="14" spans="1:13" s="17" customFormat="1" x14ac:dyDescent="0.25">
      <c r="A14" s="35"/>
      <c r="B14" s="35"/>
      <c r="C14" s="29"/>
      <c r="D14" s="2"/>
      <c r="E14" s="3"/>
      <c r="F14" s="3"/>
      <c r="G14" s="3"/>
      <c r="H14" s="3"/>
      <c r="I14" s="36">
        <f>SUM(Table2[[#This Row],[Upto 3 months]:[More Than 1 Year]])</f>
        <v>0</v>
      </c>
    </row>
    <row r="15" spans="1:13" s="17" customFormat="1" x14ac:dyDescent="0.25">
      <c r="A15" s="35"/>
      <c r="B15" s="35"/>
      <c r="C15" s="29"/>
      <c r="D15" s="2"/>
      <c r="E15" s="3"/>
      <c r="F15" s="3"/>
      <c r="G15" s="3"/>
      <c r="H15" s="3"/>
      <c r="I15" s="36">
        <f>SUM(Table2[[#This Row],[Upto 3 months]:[More Than 1 Year]])</f>
        <v>0</v>
      </c>
    </row>
    <row r="16" spans="1:13" s="17" customFormat="1" x14ac:dyDescent="0.25">
      <c r="A16" s="35"/>
      <c r="B16" s="35"/>
      <c r="C16" s="29"/>
      <c r="D16" s="2"/>
      <c r="E16" s="3"/>
      <c r="F16" s="3"/>
      <c r="G16" s="3"/>
      <c r="H16" s="3"/>
      <c r="I16" s="36">
        <f>SUM(Table2[[#This Row],[Upto 3 months]:[More Than 1 Year]])</f>
        <v>0</v>
      </c>
    </row>
    <row r="17" spans="1:9" s="17" customFormat="1" x14ac:dyDescent="0.25">
      <c r="A17" s="35"/>
      <c r="B17" s="35"/>
      <c r="C17" s="29"/>
      <c r="D17" s="2"/>
      <c r="E17" s="3"/>
      <c r="F17" s="3"/>
      <c r="G17" s="3"/>
      <c r="H17" s="3"/>
      <c r="I17" s="36">
        <f>SUM(Table2[[#This Row],[Upto 3 months]:[More Than 1 Year]])</f>
        <v>0</v>
      </c>
    </row>
    <row r="18" spans="1:9" s="17" customFormat="1" x14ac:dyDescent="0.25">
      <c r="A18" s="35"/>
      <c r="B18" s="35"/>
      <c r="C18" s="29"/>
      <c r="D18" s="2"/>
      <c r="E18" s="3"/>
      <c r="F18" s="3"/>
      <c r="G18" s="3"/>
      <c r="H18" s="3"/>
      <c r="I18" s="36">
        <f>SUM(Table2[[#This Row],[Upto 3 months]:[More Than 1 Year]])</f>
        <v>0</v>
      </c>
    </row>
    <row r="19" spans="1:9" s="17" customFormat="1" x14ac:dyDescent="0.25">
      <c r="A19" s="35"/>
      <c r="B19" s="35"/>
      <c r="C19" s="29"/>
      <c r="D19" s="2"/>
      <c r="E19" s="3"/>
      <c r="F19" s="3"/>
      <c r="G19" s="3"/>
      <c r="H19" s="3"/>
      <c r="I19" s="36">
        <f>SUM(Table2[[#This Row],[Upto 3 months]:[More Than 1 Year]])</f>
        <v>0</v>
      </c>
    </row>
    <row r="20" spans="1:9" s="17" customFormat="1" x14ac:dyDescent="0.25">
      <c r="A20" s="35"/>
      <c r="B20" s="35"/>
      <c r="C20" s="29"/>
      <c r="D20" s="2"/>
      <c r="E20" s="3"/>
      <c r="F20" s="3"/>
      <c r="G20" s="3"/>
      <c r="H20" s="3"/>
      <c r="I20" s="36">
        <f>SUM(Table2[[#This Row],[Upto 3 months]:[More Than 1 Year]])</f>
        <v>0</v>
      </c>
    </row>
    <row r="21" spans="1:9" s="17" customFormat="1" x14ac:dyDescent="0.25">
      <c r="A21" s="35"/>
      <c r="B21" s="35"/>
      <c r="C21" s="29"/>
      <c r="D21" s="2"/>
      <c r="E21" s="3"/>
      <c r="F21" s="3"/>
      <c r="G21" s="3"/>
      <c r="H21" s="3"/>
      <c r="I21" s="36">
        <f>SUM(Table2[[#This Row],[Upto 3 months]:[More Than 1 Year]])</f>
        <v>0</v>
      </c>
    </row>
    <row r="22" spans="1:9" s="17" customFormat="1" x14ac:dyDescent="0.25">
      <c r="A22" s="35"/>
      <c r="B22" s="35"/>
      <c r="C22" s="29"/>
      <c r="D22" s="2"/>
      <c r="E22" s="3"/>
      <c r="F22" s="3"/>
      <c r="G22" s="3"/>
      <c r="H22" s="3"/>
      <c r="I22" s="36">
        <f>SUM(Table2[[#This Row],[Upto 3 months]:[More Than 1 Year]])</f>
        <v>0</v>
      </c>
    </row>
    <row r="23" spans="1:9" s="17" customFormat="1" x14ac:dyDescent="0.25">
      <c r="A23" s="35"/>
      <c r="B23" s="35"/>
      <c r="C23" s="29"/>
      <c r="D23" s="2"/>
      <c r="E23" s="3"/>
      <c r="F23" s="3"/>
      <c r="G23" s="3"/>
      <c r="H23" s="3"/>
      <c r="I23" s="36">
        <f>SUM(Table2[[#This Row],[Upto 3 months]:[More Than 1 Year]])</f>
        <v>0</v>
      </c>
    </row>
    <row r="24" spans="1:9" s="17" customFormat="1" x14ac:dyDescent="0.25">
      <c r="A24" s="35"/>
      <c r="B24" s="35"/>
      <c r="C24" s="29"/>
      <c r="D24" s="2"/>
      <c r="E24" s="3"/>
      <c r="F24" s="3"/>
      <c r="G24" s="3"/>
      <c r="H24" s="3"/>
      <c r="I24" s="36">
        <f>SUM(Table2[[#This Row],[Upto 3 months]:[More Than 1 Year]])</f>
        <v>0</v>
      </c>
    </row>
    <row r="25" spans="1:9" s="17" customFormat="1" x14ac:dyDescent="0.25">
      <c r="A25" s="35"/>
      <c r="B25" s="35"/>
      <c r="C25" s="29"/>
      <c r="D25" s="2"/>
      <c r="E25" s="3"/>
      <c r="F25" s="3"/>
      <c r="G25" s="3"/>
      <c r="H25" s="3"/>
      <c r="I25" s="36">
        <f>SUM(Table2[[#This Row],[Upto 3 months]:[More Than 1 Year]])</f>
        <v>0</v>
      </c>
    </row>
    <row r="26" spans="1:9" s="17" customFormat="1" x14ac:dyDescent="0.25">
      <c r="A26" s="35"/>
      <c r="B26" s="35"/>
      <c r="C26" s="29"/>
      <c r="D26" s="2"/>
      <c r="E26" s="3"/>
      <c r="F26" s="3"/>
      <c r="G26" s="3"/>
      <c r="H26" s="3"/>
      <c r="I26" s="36">
        <f>SUM(Table2[[#This Row],[Upto 3 months]:[More Than 1 Year]])</f>
        <v>0</v>
      </c>
    </row>
    <row r="27" spans="1:9" s="17" customFormat="1" x14ac:dyDescent="0.25">
      <c r="A27" s="35"/>
      <c r="B27" s="35"/>
      <c r="C27" s="29"/>
      <c r="D27" s="2"/>
      <c r="E27" s="3"/>
      <c r="F27" s="3"/>
      <c r="G27" s="3"/>
      <c r="H27" s="3"/>
      <c r="I27" s="36">
        <f>SUM(Table2[[#This Row],[Upto 3 months]:[More Than 1 Year]])</f>
        <v>0</v>
      </c>
    </row>
    <row r="28" spans="1:9" s="17" customFormat="1" x14ac:dyDescent="0.25">
      <c r="A28" s="35"/>
      <c r="B28" s="35"/>
      <c r="C28" s="29"/>
      <c r="D28" s="2"/>
      <c r="E28" s="3"/>
      <c r="F28" s="3"/>
      <c r="G28" s="3"/>
      <c r="H28" s="3"/>
      <c r="I28" s="36">
        <f>SUM(Table2[[#This Row],[Upto 3 months]:[More Than 1 Year]])</f>
        <v>0</v>
      </c>
    </row>
    <row r="29" spans="1:9" s="17" customFormat="1" x14ac:dyDescent="0.25">
      <c r="A29" s="35"/>
      <c r="B29" s="35"/>
      <c r="C29" s="29"/>
      <c r="D29" s="2"/>
      <c r="E29" s="3"/>
      <c r="F29" s="3"/>
      <c r="G29" s="3"/>
      <c r="H29" s="3"/>
      <c r="I29" s="36">
        <f>SUM(Table2[[#This Row],[Upto 3 months]:[More Than 1 Year]])</f>
        <v>0</v>
      </c>
    </row>
    <row r="30" spans="1:9" s="17" customFormat="1" x14ac:dyDescent="0.25">
      <c r="A30" s="35"/>
      <c r="B30" s="35"/>
      <c r="C30" s="29"/>
      <c r="D30" s="2"/>
      <c r="E30" s="3"/>
      <c r="F30" s="3"/>
      <c r="G30" s="3"/>
      <c r="H30" s="3"/>
      <c r="I30" s="36">
        <f>SUM(Table2[[#This Row],[Upto 3 months]:[More Than 1 Year]])</f>
        <v>0</v>
      </c>
    </row>
    <row r="31" spans="1:9" s="17" customFormat="1" x14ac:dyDescent="0.25">
      <c r="A31" s="35"/>
      <c r="B31" s="35"/>
      <c r="C31" s="29"/>
      <c r="D31" s="2"/>
      <c r="E31" s="3"/>
      <c r="F31" s="3"/>
      <c r="G31" s="3"/>
      <c r="H31" s="3"/>
      <c r="I31" s="36">
        <f>SUM(Table2[[#This Row],[Upto 3 months]:[More Than 1 Year]])</f>
        <v>0</v>
      </c>
    </row>
    <row r="32" spans="1:9" s="17" customFormat="1" x14ac:dyDescent="0.25">
      <c r="A32" s="35"/>
      <c r="B32" s="35"/>
      <c r="C32" s="29"/>
      <c r="D32" s="2"/>
      <c r="E32" s="3"/>
      <c r="F32" s="3"/>
      <c r="G32" s="3"/>
      <c r="H32" s="3"/>
      <c r="I32" s="36">
        <f>SUM(Table2[[#This Row],[Upto 3 months]:[More Than 1 Year]])</f>
        <v>0</v>
      </c>
    </row>
    <row r="33" spans="1:9" s="17" customFormat="1" x14ac:dyDescent="0.25">
      <c r="A33" s="35"/>
      <c r="B33" s="35"/>
      <c r="C33" s="29"/>
      <c r="D33" s="2"/>
      <c r="E33" s="3"/>
      <c r="F33" s="3"/>
      <c r="G33" s="3"/>
      <c r="H33" s="3"/>
      <c r="I33" s="36">
        <f>SUM(Table2[[#This Row],[Upto 3 months]:[More Than 1 Year]])</f>
        <v>0</v>
      </c>
    </row>
    <row r="34" spans="1:9" s="17" customFormat="1" x14ac:dyDescent="0.25">
      <c r="A34" s="35"/>
      <c r="B34" s="35"/>
      <c r="C34" s="29"/>
      <c r="D34" s="2"/>
      <c r="E34" s="3"/>
      <c r="F34" s="3"/>
      <c r="G34" s="3"/>
      <c r="H34" s="3"/>
      <c r="I34" s="36">
        <f>SUM(Table2[[#This Row],[Upto 3 months]:[More Than 1 Year]])</f>
        <v>0</v>
      </c>
    </row>
    <row r="35" spans="1:9" s="17" customFormat="1" x14ac:dyDescent="0.25">
      <c r="A35" s="35"/>
      <c r="B35" s="35"/>
      <c r="C35" s="29"/>
      <c r="D35" s="2"/>
      <c r="E35" s="3"/>
      <c r="F35" s="3"/>
      <c r="G35" s="3"/>
      <c r="H35" s="3"/>
      <c r="I35" s="36">
        <f>SUM(Table2[[#This Row],[Upto 3 months]:[More Than 1 Year]])</f>
        <v>0</v>
      </c>
    </row>
    <row r="36" spans="1:9" s="17" customFormat="1" x14ac:dyDescent="0.25">
      <c r="A36" s="35"/>
      <c r="B36" s="35"/>
      <c r="C36" s="29"/>
      <c r="D36" s="2"/>
      <c r="E36" s="3"/>
      <c r="F36" s="3"/>
      <c r="G36" s="3"/>
      <c r="H36" s="3"/>
      <c r="I36" s="36">
        <f>SUM(Table2[[#This Row],[Upto 3 months]:[More Than 1 Year]])</f>
        <v>0</v>
      </c>
    </row>
    <row r="37" spans="1:9" s="17" customFormat="1" x14ac:dyDescent="0.25">
      <c r="A37" s="35"/>
      <c r="B37" s="35"/>
      <c r="C37" s="29"/>
      <c r="D37" s="2"/>
      <c r="E37" s="3"/>
      <c r="F37" s="3"/>
      <c r="G37" s="3"/>
      <c r="H37" s="3"/>
      <c r="I37" s="36">
        <f>SUM(Table2[[#This Row],[Upto 3 months]:[More Than 1 Year]])</f>
        <v>0</v>
      </c>
    </row>
    <row r="38" spans="1:9" s="17" customFormat="1" x14ac:dyDescent="0.25">
      <c r="A38" s="35"/>
      <c r="B38" s="35"/>
      <c r="C38" s="29"/>
      <c r="D38" s="2"/>
      <c r="E38" s="3"/>
      <c r="F38" s="3"/>
      <c r="G38" s="3"/>
      <c r="H38" s="3"/>
      <c r="I38" s="36">
        <f>SUM(Table2[[#This Row],[Upto 3 months]:[More Than 1 Year]])</f>
        <v>0</v>
      </c>
    </row>
    <row r="39" spans="1:9" s="17" customFormat="1" x14ac:dyDescent="0.25">
      <c r="A39" s="35"/>
      <c r="B39" s="35"/>
      <c r="C39" s="29"/>
      <c r="D39" s="2"/>
      <c r="E39" s="3"/>
      <c r="F39" s="3"/>
      <c r="G39" s="3"/>
      <c r="H39" s="3"/>
      <c r="I39" s="36">
        <f>SUM(Table2[[#This Row],[Upto 3 months]:[More Than 1 Year]])</f>
        <v>0</v>
      </c>
    </row>
    <row r="40" spans="1:9" s="17" customFormat="1" x14ac:dyDescent="0.25">
      <c r="A40" s="35"/>
      <c r="B40" s="35"/>
      <c r="C40" s="29"/>
      <c r="D40" s="2"/>
      <c r="E40" s="3"/>
      <c r="F40" s="3"/>
      <c r="G40" s="3"/>
      <c r="H40" s="3"/>
      <c r="I40" s="36">
        <f>SUM(Table2[[#This Row],[Upto 3 months]:[More Than 1 Year]])</f>
        <v>0</v>
      </c>
    </row>
    <row r="41" spans="1:9" s="17" customFormat="1" x14ac:dyDescent="0.25">
      <c r="A41" s="35"/>
      <c r="B41" s="35"/>
      <c r="C41" s="29"/>
      <c r="D41" s="2"/>
      <c r="E41" s="3"/>
      <c r="F41" s="3"/>
      <c r="G41" s="3"/>
      <c r="H41" s="3"/>
      <c r="I41" s="36">
        <f>SUM(Table2[[#This Row],[Upto 3 months]:[More Than 1 Year]])</f>
        <v>0</v>
      </c>
    </row>
    <row r="42" spans="1:9" s="17" customFormat="1" x14ac:dyDescent="0.25">
      <c r="A42" s="35"/>
      <c r="B42" s="35"/>
      <c r="C42" s="29"/>
      <c r="D42" s="2"/>
      <c r="E42" s="3"/>
      <c r="F42" s="3"/>
      <c r="G42" s="3"/>
      <c r="H42" s="3"/>
      <c r="I42" s="36">
        <f>SUM(Table2[[#This Row],[Upto 3 months]:[More Than 1 Year]])</f>
        <v>0</v>
      </c>
    </row>
    <row r="43" spans="1:9" s="17" customFormat="1" x14ac:dyDescent="0.25">
      <c r="A43" s="35"/>
      <c r="B43" s="35"/>
      <c r="C43" s="29"/>
      <c r="D43" s="2"/>
      <c r="E43" s="3"/>
      <c r="F43" s="3"/>
      <c r="G43" s="3"/>
      <c r="H43" s="3"/>
      <c r="I43" s="36">
        <f>SUM(Table2[[#This Row],[Upto 3 months]:[More Than 1 Year]])</f>
        <v>0</v>
      </c>
    </row>
    <row r="44" spans="1:9" s="17" customFormat="1" x14ac:dyDescent="0.25">
      <c r="A44" s="35"/>
      <c r="B44" s="35"/>
      <c r="C44" s="29"/>
      <c r="D44" s="2"/>
      <c r="E44" s="3"/>
      <c r="F44" s="3"/>
      <c r="G44" s="3"/>
      <c r="H44" s="3"/>
      <c r="I44" s="36">
        <f>SUM(Table2[[#This Row],[Upto 3 months]:[More Than 1 Year]])</f>
        <v>0</v>
      </c>
    </row>
    <row r="45" spans="1:9" s="17" customFormat="1" x14ac:dyDescent="0.25">
      <c r="A45" s="35"/>
      <c r="B45" s="35"/>
      <c r="C45" s="29"/>
      <c r="D45" s="2"/>
      <c r="E45" s="3"/>
      <c r="F45" s="3"/>
      <c r="G45" s="3"/>
      <c r="H45" s="3"/>
      <c r="I45" s="36">
        <f>SUM(Table2[[#This Row],[Upto 3 months]:[More Than 1 Year]])</f>
        <v>0</v>
      </c>
    </row>
    <row r="46" spans="1:9" s="17" customFormat="1" x14ac:dyDescent="0.25">
      <c r="A46" s="35"/>
      <c r="B46" s="35"/>
      <c r="C46" s="29"/>
      <c r="D46" s="2"/>
      <c r="E46" s="3"/>
      <c r="F46" s="3"/>
      <c r="G46" s="3"/>
      <c r="H46" s="3"/>
      <c r="I46" s="36">
        <f>SUM(Table2[[#This Row],[Upto 3 months]:[More Than 1 Year]])</f>
        <v>0</v>
      </c>
    </row>
    <row r="47" spans="1:9" s="17" customFormat="1" x14ac:dyDescent="0.25">
      <c r="A47" s="35"/>
      <c r="B47" s="35"/>
      <c r="C47" s="29"/>
      <c r="D47" s="2"/>
      <c r="E47" s="3"/>
      <c r="F47" s="3"/>
      <c r="G47" s="3"/>
      <c r="H47" s="3"/>
      <c r="I47" s="36">
        <f>SUM(Table2[[#This Row],[Upto 3 months]:[More Than 1 Year]])</f>
        <v>0</v>
      </c>
    </row>
    <row r="48" spans="1:9" s="17" customFormat="1" x14ac:dyDescent="0.25">
      <c r="A48" s="35"/>
      <c r="B48" s="35"/>
      <c r="C48" s="29"/>
      <c r="D48" s="2"/>
      <c r="E48" s="3"/>
      <c r="F48" s="3"/>
      <c r="G48" s="3"/>
      <c r="H48" s="3"/>
      <c r="I48" s="36">
        <f>SUM(Table2[[#This Row],[Upto 3 months]:[More Than 1 Year]])</f>
        <v>0</v>
      </c>
    </row>
    <row r="49" spans="1:9" s="17" customFormat="1" x14ac:dyDescent="0.25">
      <c r="A49" s="35"/>
      <c r="B49" s="35"/>
      <c r="C49" s="29"/>
      <c r="D49" s="2"/>
      <c r="E49" s="3"/>
      <c r="F49" s="3"/>
      <c r="G49" s="3"/>
      <c r="H49" s="3"/>
      <c r="I49" s="36">
        <f>SUM(Table2[[#This Row],[Upto 3 months]:[More Than 1 Year]])</f>
        <v>0</v>
      </c>
    </row>
    <row r="50" spans="1:9" s="17" customFormat="1" x14ac:dyDescent="0.25">
      <c r="A50" s="35"/>
      <c r="B50" s="35"/>
      <c r="C50" s="29"/>
      <c r="D50" s="2"/>
      <c r="E50" s="3"/>
      <c r="F50" s="3"/>
      <c r="G50" s="3"/>
      <c r="H50" s="3"/>
      <c r="I50" s="36">
        <f>SUM(Table2[[#This Row],[Upto 3 months]:[More Than 1 Year]])</f>
        <v>0</v>
      </c>
    </row>
    <row r="51" spans="1:9" s="17" customFormat="1" x14ac:dyDescent="0.25">
      <c r="A51" s="35"/>
      <c r="B51" s="35"/>
      <c r="C51" s="29"/>
      <c r="D51" s="2"/>
      <c r="E51" s="3"/>
      <c r="F51" s="3"/>
      <c r="G51" s="3"/>
      <c r="H51" s="3"/>
      <c r="I51" s="36">
        <f>SUM(Table2[[#This Row],[Upto 3 months]:[More Than 1 Year]])</f>
        <v>0</v>
      </c>
    </row>
    <row r="52" spans="1:9" s="17" customFormat="1" x14ac:dyDescent="0.25">
      <c r="A52" s="35"/>
      <c r="B52" s="35"/>
      <c r="C52" s="29"/>
      <c r="D52" s="2"/>
      <c r="E52" s="3"/>
      <c r="F52" s="3"/>
      <c r="G52" s="3"/>
      <c r="H52" s="3"/>
      <c r="I52" s="36">
        <f>SUM(Table2[[#This Row],[Upto 3 months]:[More Than 1 Year]])</f>
        <v>0</v>
      </c>
    </row>
    <row r="53" spans="1:9" s="17" customFormat="1" x14ac:dyDescent="0.25">
      <c r="A53" s="35"/>
      <c r="B53" s="35"/>
      <c r="C53" s="29"/>
      <c r="D53" s="2"/>
      <c r="E53" s="3"/>
      <c r="F53" s="3"/>
      <c r="G53" s="3"/>
      <c r="H53" s="3"/>
      <c r="I53" s="36">
        <f>SUM(Table2[[#This Row],[Upto 3 months]:[More Than 1 Year]])</f>
        <v>0</v>
      </c>
    </row>
    <row r="54" spans="1:9" s="17" customFormat="1" x14ac:dyDescent="0.25">
      <c r="A54" s="30" t="s">
        <v>64</v>
      </c>
      <c r="B54" s="1"/>
      <c r="C54" s="1"/>
      <c r="D54" s="1"/>
      <c r="E54" s="12">
        <f ca="1">SUM(INDIRECT("E12:E"&amp;ROW()-1))</f>
        <v>0</v>
      </c>
      <c r="F54" s="12">
        <f ca="1">SUM(INDIRECT("F12:F"&amp;ROW()-1))</f>
        <v>0</v>
      </c>
      <c r="G54" s="12">
        <f ca="1">SUM(INDIRECT("G12:G"&amp;ROW()-1))</f>
        <v>0</v>
      </c>
      <c r="H54" s="12">
        <f ca="1">SUM(INDIRECT("H12:H"&amp;ROW()-1))</f>
        <v>0</v>
      </c>
      <c r="I54" s="12">
        <f ca="1">SUM(INDIRECT("I12:I"&amp;ROW()-1))</f>
        <v>0</v>
      </c>
    </row>
    <row r="55" spans="1:9" customFormat="1" ht="35.25" customHeight="1" x14ac:dyDescent="0.25">
      <c r="A55" s="37"/>
      <c r="I55" s="38"/>
    </row>
    <row r="56" spans="1:9" hidden="1" x14ac:dyDescent="0.25">
      <c r="A56" s="70" t="s">
        <v>48</v>
      </c>
      <c r="B56" s="71"/>
      <c r="C56" s="71"/>
      <c r="D56" s="71"/>
      <c r="E56" s="71"/>
      <c r="F56" s="71"/>
      <c r="G56" s="71"/>
      <c r="H56" s="71"/>
      <c r="I56" s="72"/>
    </row>
    <row r="57" spans="1:9" ht="15.75" hidden="1" thickBot="1" x14ac:dyDescent="0.3">
      <c r="A57" s="73"/>
      <c r="B57" s="74"/>
      <c r="C57" s="74"/>
      <c r="D57" s="74"/>
      <c r="E57" s="74"/>
      <c r="F57" s="74"/>
      <c r="G57" s="74"/>
      <c r="H57" s="74"/>
      <c r="I57" s="75"/>
    </row>
    <row r="58" spans="1:9" ht="20.45" hidden="1" customHeight="1" x14ac:dyDescent="0.25">
      <c r="E58" s="17"/>
    </row>
    <row r="59" spans="1:9" ht="20.45" hidden="1" customHeight="1" x14ac:dyDescent="0.25"/>
    <row r="60" spans="1:9" ht="20.45" hidden="1" customHeight="1" x14ac:dyDescent="0.25"/>
    <row r="61" spans="1:9" ht="20.45" hidden="1" customHeight="1" x14ac:dyDescent="0.25"/>
    <row r="62" spans="1:9" hidden="1" x14ac:dyDescent="0.25"/>
    <row r="63" spans="1:9" hidden="1" x14ac:dyDescent="0.25"/>
    <row r="64" spans="1:9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</sheetData>
  <sheetProtection password="AEFD" sheet="1" objects="1" scenarios="1" selectLockedCells="1"/>
  <mergeCells count="10">
    <mergeCell ref="A56:I57"/>
    <mergeCell ref="A1:H3"/>
    <mergeCell ref="A4:H4"/>
    <mergeCell ref="A5:H5"/>
    <mergeCell ref="A6:H6"/>
    <mergeCell ref="A7:H7"/>
    <mergeCell ref="A8:H8"/>
    <mergeCell ref="A10:D10"/>
    <mergeCell ref="E10:I10"/>
    <mergeCell ref="I1:I3"/>
  </mergeCells>
  <dataValidations count="5">
    <dataValidation type="decimal" operator="greaterThanOrEqual" allowBlank="1" showInputMessage="1" showErrorMessage="1" errorTitle="WRONG VALUE ENTERED" error="Positive Numerical Value can only be entered." sqref="E12:H53">
      <formula1>0</formula1>
    </dataValidation>
    <dataValidation type="date" operator="greaterThan" allowBlank="1" showInputMessage="1" showErrorMessage="1" errorTitle="WRONG VALUE ENTERED" error="Enter Date in dd/mm/yyyy format" sqref="C12:C53">
      <formula1>36526</formula1>
    </dataValidation>
    <dataValidation type="custom" allowBlank="1" showInputMessage="1" showErrorMessage="1" errorTitle="WRONG VALUE ENTERED" error="Special Characters such as @#%&amp;!&lt;&gt; are not allowed." sqref="A12:B53">
      <formula1>ISNUMBER(SUMPRODUCT(SEARCH(MID(A12,ROW(INDIRECT("1:"&amp;LEN(A12))),1),"0123456789abcdefghijklmnopqrstuvwxyzABCDEFGHIJKLMNOPQRSTUVWXYZ ")))</formula1>
    </dataValidation>
    <dataValidation type="custom" allowBlank="1" showInputMessage="1" showErrorMessage="1" errorTitle="WRONG VALUE ENTERED" error="Special Characters such as @#%&amp;!&lt;&gt; are not allowed." prompt="Please enter 10 digit PAN OR 15 digit GST No OR 20 digit LEI No." sqref="D12:D53">
      <formula1>AND(OR(LEN(D12)=10,LEN(D12)=15,LEN(D12)=20),ISNUMBER(SUMPRODUCT(SEARCH(MID(D12,ROW(INDIRECT("1:"&amp;LEN(D12))),1),"0123456789abcdefghijklmnopqrstuvwxyzABCDEFGHIJKLMNOPQRSTUVWXYZ"))))</formula1>
    </dataValidation>
    <dataValidation type="decimal" operator="greaterThanOrEqual" allowBlank="1" showInputMessage="1" showErrorMessage="1" errorTitle="WRONG VALUE ENTERED" error="Positive Numerical Value can only be entered." promptTitle=" " prompt="Only advances taken through bills discounted should be entered here and any amount entered here will be deducted from value of debtors" sqref="I4:I7">
      <formula1>0</formula1>
    </dataValidation>
  </dataValidations>
  <pageMargins left="0.7" right="0.7" top="0.75" bottom="0.75" header="0.3" footer="0.3"/>
  <pageSetup scale="7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DD_ROW_Debtor">
                <anchor moveWithCells="1" sizeWithCells="1">
                  <from>
                    <xdr:col>0</xdr:col>
                    <xdr:colOff>285750</xdr:colOff>
                    <xdr:row>54</xdr:row>
                    <xdr:rowOff>47625</xdr:rowOff>
                  </from>
                  <to>
                    <xdr:col>0</xdr:col>
                    <xdr:colOff>1838325</xdr:colOff>
                    <xdr:row>54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DEL_ROW_debtor">
                <anchor moveWithCells="1" sizeWithCells="1">
                  <from>
                    <xdr:col>4</xdr:col>
                    <xdr:colOff>285750</xdr:colOff>
                    <xdr:row>54</xdr:row>
                    <xdr:rowOff>47625</xdr:rowOff>
                  </from>
                  <to>
                    <xdr:col>5</xdr:col>
                    <xdr:colOff>800100</xdr:colOff>
                    <xdr:row>54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D699"/>
  </sheetPr>
  <dimension ref="A1:N28"/>
  <sheetViews>
    <sheetView zoomScaleNormal="100" workbookViewId="0">
      <selection activeCell="A26" sqref="A26:C27"/>
    </sheetView>
  </sheetViews>
  <sheetFormatPr defaultColWidth="0" defaultRowHeight="14.45" customHeight="1" zeroHeight="1" x14ac:dyDescent="0.25"/>
  <cols>
    <col min="1" max="1" width="32.42578125" style="6" customWidth="1"/>
    <col min="2" max="2" width="20.28515625" style="6" customWidth="1"/>
    <col min="3" max="3" width="16.7109375" style="17" customWidth="1"/>
    <col min="4" max="4" width="9.140625" style="6" hidden="1" customWidth="1"/>
    <col min="5" max="5" width="21.140625" style="6" hidden="1" customWidth="1"/>
    <col min="6" max="6" width="18.28515625" style="6" hidden="1" customWidth="1"/>
    <col min="7" max="7" width="38.85546875" style="6" hidden="1" customWidth="1"/>
    <col min="8" max="13" width="9.140625" style="6" hidden="1" customWidth="1"/>
    <col min="14" max="14" width="41" style="6" hidden="1" customWidth="1"/>
    <col min="15" max="16384" width="9.140625" style="6" hidden="1"/>
  </cols>
  <sheetData>
    <row r="1" spans="1:13" ht="18.75" x14ac:dyDescent="0.25">
      <c r="A1" s="85" t="s">
        <v>87</v>
      </c>
      <c r="B1" s="86"/>
      <c r="C1" s="87"/>
      <c r="G1" s="22" t="s">
        <v>79</v>
      </c>
      <c r="M1" s="6">
        <f>ROWS(A3:A24)-1</f>
        <v>21</v>
      </c>
    </row>
    <row r="2" spans="1:13" ht="25.5" x14ac:dyDescent="0.35">
      <c r="A2" s="1" t="s">
        <v>35</v>
      </c>
      <c r="B2" s="1" t="s">
        <v>45</v>
      </c>
      <c r="C2" s="12" t="s">
        <v>70</v>
      </c>
      <c r="G2" s="88" t="s">
        <v>67</v>
      </c>
      <c r="H2" s="88"/>
      <c r="I2" s="88"/>
    </row>
    <row r="3" spans="1:13" ht="15" x14ac:dyDescent="0.25">
      <c r="A3" s="4"/>
      <c r="B3" s="2"/>
      <c r="C3" s="31"/>
    </row>
    <row r="4" spans="1:13" ht="15" x14ac:dyDescent="0.25">
      <c r="A4" s="4"/>
      <c r="B4" s="2"/>
      <c r="C4" s="31"/>
    </row>
    <row r="5" spans="1:13" ht="15" x14ac:dyDescent="0.25">
      <c r="A5" s="4"/>
      <c r="B5" s="2"/>
      <c r="C5" s="31"/>
    </row>
    <row r="6" spans="1:13" ht="15" x14ac:dyDescent="0.25">
      <c r="A6" s="4"/>
      <c r="B6" s="2"/>
      <c r="C6" s="31"/>
    </row>
    <row r="7" spans="1:13" ht="29.25" customHeight="1" x14ac:dyDescent="0.25">
      <c r="A7" s="4"/>
      <c r="B7" s="2"/>
      <c r="C7" s="31"/>
    </row>
    <row r="8" spans="1:13" ht="15" x14ac:dyDescent="0.25">
      <c r="A8" s="4"/>
      <c r="B8" s="2"/>
      <c r="C8" s="31"/>
    </row>
    <row r="9" spans="1:13" ht="15" x14ac:dyDescent="0.25">
      <c r="A9" s="4"/>
      <c r="B9" s="2"/>
      <c r="C9" s="31"/>
    </row>
    <row r="10" spans="1:13" ht="15" x14ac:dyDescent="0.25">
      <c r="A10" s="4"/>
      <c r="B10" s="2"/>
      <c r="C10" s="31"/>
    </row>
    <row r="11" spans="1:13" ht="15" x14ac:dyDescent="0.25">
      <c r="A11" s="4"/>
      <c r="B11" s="2"/>
      <c r="C11" s="31"/>
    </row>
    <row r="12" spans="1:13" ht="15" x14ac:dyDescent="0.25">
      <c r="A12" s="4"/>
      <c r="B12" s="2"/>
      <c r="C12" s="31"/>
    </row>
    <row r="13" spans="1:13" ht="15" x14ac:dyDescent="0.25">
      <c r="A13" s="4"/>
      <c r="B13" s="2"/>
      <c r="C13" s="31"/>
    </row>
    <row r="14" spans="1:13" ht="15" x14ac:dyDescent="0.25">
      <c r="A14" s="4"/>
      <c r="B14" s="2"/>
      <c r="C14" s="31"/>
    </row>
    <row r="15" spans="1:13" ht="15" x14ac:dyDescent="0.25">
      <c r="A15" s="4"/>
      <c r="B15" s="2"/>
      <c r="C15" s="31"/>
    </row>
    <row r="16" spans="1:13" ht="15" x14ac:dyDescent="0.25">
      <c r="A16" s="4"/>
      <c r="B16" s="2"/>
      <c r="C16" s="31"/>
    </row>
    <row r="17" spans="1:3" ht="15" x14ac:dyDescent="0.25">
      <c r="A17" s="4"/>
      <c r="B17" s="2"/>
      <c r="C17" s="31"/>
    </row>
    <row r="18" spans="1:3" ht="15" x14ac:dyDescent="0.25">
      <c r="A18" s="4"/>
      <c r="B18" s="2"/>
      <c r="C18" s="31"/>
    </row>
    <row r="19" spans="1:3" ht="15" x14ac:dyDescent="0.25">
      <c r="A19" s="4"/>
      <c r="B19" s="2"/>
      <c r="C19" s="31"/>
    </row>
    <row r="20" spans="1:3" ht="15" x14ac:dyDescent="0.25">
      <c r="A20" s="4"/>
      <c r="B20" s="2"/>
      <c r="C20" s="31"/>
    </row>
    <row r="21" spans="1:3" ht="15" x14ac:dyDescent="0.25">
      <c r="A21" s="4"/>
      <c r="B21" s="2"/>
      <c r="C21" s="31"/>
    </row>
    <row r="22" spans="1:3" ht="15" x14ac:dyDescent="0.25">
      <c r="A22" s="4"/>
      <c r="B22" s="2"/>
      <c r="C22" s="31"/>
    </row>
    <row r="23" spans="1:3" ht="15" x14ac:dyDescent="0.25">
      <c r="A23" s="4"/>
      <c r="B23" s="2"/>
      <c r="C23" s="31"/>
    </row>
    <row r="24" spans="1:3" ht="15" x14ac:dyDescent="0.25">
      <c r="A24" s="1" t="s">
        <v>32</v>
      </c>
      <c r="B24" s="1"/>
      <c r="C24" s="12">
        <f ca="1">SUM(INDIRECT("C3:C"&amp;ROW()-1))</f>
        <v>0</v>
      </c>
    </row>
    <row r="25" spans="1:3" customFormat="1" ht="37.15" customHeight="1" x14ac:dyDescent="0.25">
      <c r="C25" s="28"/>
    </row>
    <row r="26" spans="1:3" ht="15" hidden="1" x14ac:dyDescent="0.25">
      <c r="A26" s="71" t="s">
        <v>48</v>
      </c>
      <c r="B26" s="71"/>
      <c r="C26" s="71"/>
    </row>
    <row r="27" spans="1:3" ht="15" hidden="1" x14ac:dyDescent="0.25">
      <c r="A27" s="71"/>
      <c r="B27" s="71"/>
      <c r="C27" s="71"/>
    </row>
    <row r="28" spans="1:3" ht="18.600000000000001" hidden="1" customHeight="1" x14ac:dyDescent="0.25"/>
  </sheetData>
  <sheetProtection password="AEFD" sheet="1" objects="1" scenarios="1" selectLockedCells="1"/>
  <mergeCells count="3">
    <mergeCell ref="A1:C1"/>
    <mergeCell ref="G2:I2"/>
    <mergeCell ref="A26:C27"/>
  </mergeCells>
  <dataValidations count="3">
    <dataValidation type="decimal" operator="greaterThanOrEqual" allowBlank="1" showInputMessage="1" showErrorMessage="1" errorTitle="WRONG VALUE ENTERED" error="Positive Numerical Value can only be entered." sqref="C3:C23">
      <formula1>0</formula1>
    </dataValidation>
    <dataValidation type="custom" allowBlank="1" showInputMessage="1" showErrorMessage="1" errorTitle="WRONG VALUE ENTERED" error="Special Characters such as @#%&amp;!&lt;&gt; are not allowed." sqref="A3:A23">
      <formula1>ISNUMBER(SUMPRODUCT(SEARCH(MID(A3,ROW(INDIRECT("1:"&amp;LEN(A3))),1),"0123456789abcdefghijklmnopqrstuvwxyzABCDEFGHIJKLMNOPQRSTUVWXYZ ")))</formula1>
    </dataValidation>
    <dataValidation type="custom" allowBlank="1" showInputMessage="1" showErrorMessage="1" errorTitle="WRONG VALUE ENTERED" error="Special Characters such as @#%&amp;!&lt;&gt; are not allowed." prompt="Please enter 10 digit PAN OR 15 digit GST No OR 20 digit LEI No." sqref="B3:B23">
      <formula1>AND(OR(LEN(B3)=10,LEN(B3)=15,LEN(B3)=20),ISNUMBER(SUMPRODUCT(SEARCH(MID(B3,ROW(INDIRECT("1:"&amp;LEN(B3))),1),"0123456789abcdefghijklmnopqrstuvwxyzABCDEFGHIJKLMNOPQRSTUVWXYZ"))))</formula1>
    </dataValidation>
  </dataValidations>
  <pageMargins left="0.7" right="0.7" top="0.75" bottom="0.75" header="0.3" footer="0.3"/>
  <pageSetup orientation="portrait" r:id="rId1"/>
  <colBreaks count="1" manualBreakCount="1">
    <brk id="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_ROW_Creditor">
                <anchor moveWithCells="1" sizeWithCells="1">
                  <from>
                    <xdr:col>0</xdr:col>
                    <xdr:colOff>142875</xdr:colOff>
                    <xdr:row>24</xdr:row>
                    <xdr:rowOff>85725</xdr:rowOff>
                  </from>
                  <to>
                    <xdr:col>0</xdr:col>
                    <xdr:colOff>2047875</xdr:colOff>
                    <xdr:row>24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DEL_ROW_Creditor">
                <anchor moveWithCells="1" sizeWithCells="1">
                  <from>
                    <xdr:col>1</xdr:col>
                    <xdr:colOff>561975</xdr:colOff>
                    <xdr:row>24</xdr:row>
                    <xdr:rowOff>85725</xdr:rowOff>
                  </from>
                  <to>
                    <xdr:col>2</xdr:col>
                    <xdr:colOff>1076325</xdr:colOff>
                    <xdr:row>24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A10D3B"/>
  </sheetPr>
  <dimension ref="A1:M19"/>
  <sheetViews>
    <sheetView showGridLines="0" zoomScaleNormal="100" workbookViewId="0">
      <selection activeCell="A13" sqref="A13:C14"/>
    </sheetView>
  </sheetViews>
  <sheetFormatPr defaultColWidth="0" defaultRowHeight="15" zeroHeight="1" x14ac:dyDescent="0.25"/>
  <cols>
    <col min="1" max="1" width="22.5703125" style="6" customWidth="1"/>
    <col min="2" max="2" width="29.140625" style="6" customWidth="1"/>
    <col min="3" max="3" width="26.5703125" style="6" customWidth="1"/>
    <col min="4" max="5" width="9.140625" style="6" hidden="1" customWidth="1"/>
    <col min="6" max="6" width="43" style="6" hidden="1" customWidth="1"/>
    <col min="7" max="16384" width="9.140625" style="6" hidden="1"/>
  </cols>
  <sheetData>
    <row r="1" spans="1:13" ht="18.75" x14ac:dyDescent="0.25">
      <c r="A1" s="85" t="s">
        <v>36</v>
      </c>
      <c r="B1" s="86"/>
      <c r="C1" s="87"/>
      <c r="F1" s="22" t="s">
        <v>79</v>
      </c>
      <c r="M1" s="6">
        <f>ROWS(A3:A10)-1</f>
        <v>7</v>
      </c>
    </row>
    <row r="2" spans="1:13" ht="25.5" x14ac:dyDescent="0.35">
      <c r="A2" s="1" t="s">
        <v>37</v>
      </c>
      <c r="B2" s="1" t="s">
        <v>46</v>
      </c>
      <c r="C2" s="1" t="s">
        <v>71</v>
      </c>
      <c r="F2" s="88" t="s">
        <v>67</v>
      </c>
      <c r="G2" s="88"/>
      <c r="H2" s="88"/>
    </row>
    <row r="3" spans="1:13" x14ac:dyDescent="0.25">
      <c r="A3" s="4"/>
      <c r="B3" s="2"/>
      <c r="C3" s="31"/>
    </row>
    <row r="4" spans="1:13" x14ac:dyDescent="0.25">
      <c r="A4" s="4"/>
      <c r="B4" s="2"/>
      <c r="C4" s="31"/>
    </row>
    <row r="5" spans="1:13" x14ac:dyDescent="0.25">
      <c r="A5" s="4"/>
      <c r="B5" s="2"/>
      <c r="C5" s="31"/>
    </row>
    <row r="6" spans="1:13" x14ac:dyDescent="0.25">
      <c r="A6" s="4"/>
      <c r="B6" s="2"/>
      <c r="C6" s="31"/>
    </row>
    <row r="7" spans="1:13" x14ac:dyDescent="0.25">
      <c r="A7" s="4"/>
      <c r="B7" s="2"/>
      <c r="C7" s="31"/>
    </row>
    <row r="8" spans="1:13" x14ac:dyDescent="0.25">
      <c r="A8" s="4"/>
      <c r="B8" s="2"/>
      <c r="C8" s="31"/>
    </row>
    <row r="9" spans="1:13" x14ac:dyDescent="0.25">
      <c r="A9" s="4"/>
      <c r="B9" s="2"/>
      <c r="C9" s="31"/>
    </row>
    <row r="10" spans="1:13" x14ac:dyDescent="0.25">
      <c r="A10" s="23" t="s">
        <v>32</v>
      </c>
      <c r="B10" s="23"/>
      <c r="C10" s="24">
        <f ca="1">SUM(INDIRECT("C3:C"&amp;ROW()-1))</f>
        <v>0</v>
      </c>
    </row>
    <row r="11" spans="1:13" customFormat="1" x14ac:dyDescent="0.25"/>
    <row r="12" spans="1:13" customFormat="1" x14ac:dyDescent="0.25"/>
    <row r="13" spans="1:13" hidden="1" x14ac:dyDescent="0.25">
      <c r="A13" s="71" t="s">
        <v>48</v>
      </c>
      <c r="B13" s="71"/>
      <c r="C13" s="71"/>
    </row>
    <row r="14" spans="1:13" hidden="1" x14ac:dyDescent="0.25">
      <c r="A14" s="71"/>
      <c r="B14" s="71"/>
      <c r="C14" s="71"/>
    </row>
    <row r="15" spans="1:13" hidden="1" x14ac:dyDescent="0.25"/>
    <row r="16" spans="1:13" hidden="1" x14ac:dyDescent="0.25"/>
    <row r="17" hidden="1" x14ac:dyDescent="0.25"/>
    <row r="18" hidden="1" x14ac:dyDescent="0.25"/>
    <row r="19" hidden="1" x14ac:dyDescent="0.25"/>
  </sheetData>
  <sheetProtection password="AEFD" sheet="1" objects="1" scenarios="1" selectLockedCells="1"/>
  <mergeCells count="3">
    <mergeCell ref="A1:C1"/>
    <mergeCell ref="F2:H2"/>
    <mergeCell ref="A13:C14"/>
  </mergeCells>
  <dataValidations count="3">
    <dataValidation type="decimal" operator="greaterThanOrEqual" allowBlank="1" showInputMessage="1" showErrorMessage="1" errorTitle="WRONG VALUE ENTERED" error="Positive Numerical Value can only be entered." sqref="C3:C9">
      <formula1>0</formula1>
    </dataValidation>
    <dataValidation type="custom" allowBlank="1" showInputMessage="1" showErrorMessage="1" errorTitle="WRONG VALUE ENTERED" error="Special Characters such as @#%&amp;!&lt;&gt; are not allowed." sqref="A3:A9">
      <formula1>ISNUMBER(SUMPRODUCT(SEARCH(MID(A3,ROW(INDIRECT("1:"&amp;LEN(A3))),1),"0123456789abcdefghijklmnopqrstuvwxyzABCDEFGHIJKLMNOPQRSTUVWXYZ ")))</formula1>
    </dataValidation>
    <dataValidation type="custom" allowBlank="1" showInputMessage="1" showErrorMessage="1" errorTitle="WRONG VALUE ENTERED" error="Special Characters such as @#%&amp;!&lt;&gt; are not allowed." prompt="Please enter 10 digit PAN OR 15 digit GST No OR 20 digit LEI No." sqref="B3:B9">
      <formula1>AND(OR(LEN(B3)=10,LEN(B3)=15,LEN(B3)=20),ISNUMBER(SUMPRODUCT(SEARCH(MID(B3,ROW(INDIRECT("1:"&amp;LEN(B3))),1),"0123456789abcdefghijklmnopqrstuvwxyzABCDEFGHIJKLMNOPQRSTUVWXYZ"))))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ROW_LC">
                <anchor moveWithCells="1" sizeWithCells="1">
                  <from>
                    <xdr:col>0</xdr:col>
                    <xdr:colOff>180975</xdr:colOff>
                    <xdr:row>10</xdr:row>
                    <xdr:rowOff>47625</xdr:rowOff>
                  </from>
                  <to>
                    <xdr:col>1</xdr:col>
                    <xdr:colOff>209550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_ROW_LC">
                <anchor moveWithCells="1" sizeWithCells="1">
                  <from>
                    <xdr:col>1</xdr:col>
                    <xdr:colOff>1885950</xdr:colOff>
                    <xdr:row>10</xdr:row>
                    <xdr:rowOff>57150</xdr:rowOff>
                  </from>
                  <to>
                    <xdr:col>2</xdr:col>
                    <xdr:colOff>1466850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D699"/>
  </sheetPr>
  <dimension ref="A1:F16"/>
  <sheetViews>
    <sheetView zoomScaleNormal="100" workbookViewId="0">
      <selection activeCell="B12" sqref="B12"/>
    </sheetView>
  </sheetViews>
  <sheetFormatPr defaultColWidth="0" defaultRowHeight="15" zeroHeight="1" x14ac:dyDescent="0.25"/>
  <cols>
    <col min="1" max="1" width="40.5703125" style="6" customWidth="1"/>
    <col min="2" max="2" width="13.7109375" style="6" customWidth="1"/>
    <col min="3" max="5" width="9.140625" style="6" hidden="1" customWidth="1"/>
    <col min="6" max="6" width="41.140625" style="6" hidden="1" customWidth="1"/>
    <col min="7" max="16384" width="9.140625" style="6" hidden="1"/>
  </cols>
  <sheetData>
    <row r="1" spans="1:6" ht="24" customHeight="1" x14ac:dyDescent="0.25">
      <c r="A1" s="90" t="s">
        <v>72</v>
      </c>
      <c r="B1" s="90"/>
      <c r="F1" s="22" t="s">
        <v>79</v>
      </c>
    </row>
    <row r="2" spans="1:6" x14ac:dyDescent="0.25">
      <c r="A2" s="25" t="s">
        <v>55</v>
      </c>
      <c r="B2" s="31"/>
    </row>
    <row r="3" spans="1:6" x14ac:dyDescent="0.25">
      <c r="A3" s="25" t="s">
        <v>56</v>
      </c>
      <c r="B3" s="31"/>
    </row>
    <row r="4" spans="1:6" x14ac:dyDescent="0.25">
      <c r="A4" s="25" t="s">
        <v>4</v>
      </c>
      <c r="B4" s="26">
        <f>B2+B3</f>
        <v>0</v>
      </c>
    </row>
    <row r="5" spans="1:6" ht="21.75" customHeight="1" x14ac:dyDescent="0.25">
      <c r="A5" s="89" t="s">
        <v>73</v>
      </c>
      <c r="B5" s="89"/>
    </row>
    <row r="6" spans="1:6" ht="26.25" x14ac:dyDescent="0.25">
      <c r="A6" s="25" t="s">
        <v>57</v>
      </c>
      <c r="B6" s="31"/>
    </row>
    <row r="7" spans="1:6" ht="20.25" customHeight="1" x14ac:dyDescent="0.25">
      <c r="A7" s="25" t="s">
        <v>58</v>
      </c>
      <c r="B7" s="31"/>
    </row>
    <row r="8" spans="1:6" x14ac:dyDescent="0.25">
      <c r="A8" s="25" t="s">
        <v>59</v>
      </c>
      <c r="B8" s="31"/>
    </row>
    <row r="9" spans="1:6" x14ac:dyDescent="0.25">
      <c r="A9" s="25" t="s">
        <v>60</v>
      </c>
      <c r="B9" s="26">
        <f>B6+B7-B8</f>
        <v>0</v>
      </c>
    </row>
    <row r="10" spans="1:6" ht="21.75" customHeight="1" x14ac:dyDescent="0.25">
      <c r="A10" s="89" t="s">
        <v>74</v>
      </c>
      <c r="B10" s="89"/>
    </row>
    <row r="11" spans="1:6" x14ac:dyDescent="0.25">
      <c r="A11" s="25" t="s">
        <v>61</v>
      </c>
      <c r="B11" s="31"/>
    </row>
    <row r="12" spans="1:6" x14ac:dyDescent="0.25">
      <c r="A12" s="27" t="s">
        <v>68</v>
      </c>
      <c r="B12" s="31"/>
    </row>
    <row r="13" spans="1:6" x14ac:dyDescent="0.25">
      <c r="A13" s="27" t="s">
        <v>62</v>
      </c>
      <c r="B13" s="26">
        <f>B12+B11</f>
        <v>0</v>
      </c>
    </row>
    <row r="14" spans="1:6" x14ac:dyDescent="0.25">
      <c r="A14"/>
      <c r="B14"/>
    </row>
    <row r="15" spans="1:6" hidden="1" x14ac:dyDescent="0.25">
      <c r="A15" s="91" t="s">
        <v>48</v>
      </c>
      <c r="B15" s="91"/>
    </row>
    <row r="16" spans="1:6" hidden="1" x14ac:dyDescent="0.25">
      <c r="A16" s="91"/>
      <c r="B16" s="91"/>
    </row>
  </sheetData>
  <sheetProtection algorithmName="SHA-512" hashValue="adQOY1UNfFR3u5sPADeiHz4guqENQrkYm0GhbCqtFsCbjAvTg1hjzYg3/79XVPWNhgN0lRjoWUil/tfswVZ2gg==" saltValue="zF4DOaNGOvCsZhjgYBgv5w==" spinCount="100000" sheet="1" objects="1" scenarios="1" selectLockedCells="1"/>
  <mergeCells count="4">
    <mergeCell ref="A5:B5"/>
    <mergeCell ref="A10:B10"/>
    <mergeCell ref="A1:B1"/>
    <mergeCell ref="A15:B16"/>
  </mergeCells>
  <dataValidations count="1">
    <dataValidation type="decimal" operator="greaterThanOrEqual" allowBlank="1" showInputMessage="1" showErrorMessage="1" errorTitle="WRONG VALUE ENTERED" error="Positive Numerical Value can only be entered." sqref="B2:B3 B6:B8 B11:B12">
      <formula1>0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Basic Details</vt:lpstr>
      <vt:lpstr>Inventory Details</vt:lpstr>
      <vt:lpstr>Debtors Details</vt:lpstr>
      <vt:lpstr>Sundry Creditors</vt:lpstr>
      <vt:lpstr>LC Creditors</vt:lpstr>
      <vt:lpstr>Other Details</vt:lpstr>
      <vt:lpstr>'Basic Details'!Print_Area</vt:lpstr>
      <vt:lpstr>'Debtors Details'!Print_Area</vt:lpstr>
      <vt:lpstr>'Inventory Details'!Print_Area</vt:lpstr>
      <vt:lpstr>'LC Creditors'!Print_Area</vt:lpstr>
      <vt:lpstr>'Sundry Creditors'!Print_Area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Sheetal Verma</dc:creator>
  <cp:lastModifiedBy>shubham</cp:lastModifiedBy>
  <cp:lastPrinted>2023-01-07T05:44:14Z</cp:lastPrinted>
  <dcterms:created xsi:type="dcterms:W3CDTF">2022-03-15T08:38:19Z</dcterms:created>
  <dcterms:modified xsi:type="dcterms:W3CDTF">2025-08-26T06:53:02Z</dcterms:modified>
</cp:coreProperties>
</file>